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E:\--- fantacalcio tot uff\26-27\"/>
    </mc:Choice>
  </mc:AlternateContent>
  <xr:revisionPtr revIDLastSave="0" documentId="13_ncr:1_{1DE8F70F-19E7-49D4-9388-E03E508704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3" i="1" l="1"/>
  <c r="P13" i="1"/>
  <c r="Q13" i="1"/>
  <c r="R13" i="1"/>
  <c r="S13" i="1"/>
  <c r="N5" i="1"/>
  <c r="T5" i="1"/>
  <c r="U5" i="1"/>
  <c r="T12" i="1"/>
  <c r="N12" i="1"/>
  <c r="N6" i="1"/>
  <c r="N9" i="1"/>
  <c r="N10" i="1"/>
  <c r="N4" i="1"/>
  <c r="N8" i="1"/>
  <c r="N7" i="1"/>
  <c r="N11" i="1"/>
  <c r="T9" i="1"/>
  <c r="T10" i="1"/>
  <c r="T4" i="1"/>
  <c r="T8" i="1"/>
  <c r="T7" i="1"/>
  <c r="T6" i="1"/>
  <c r="T11" i="1"/>
  <c r="U12" i="1"/>
  <c r="U6" i="1"/>
  <c r="U9" i="1"/>
  <c r="U4" i="1"/>
  <c r="U8" i="1"/>
  <c r="U10" i="1"/>
  <c r="U7" i="1"/>
  <c r="U11" i="1"/>
  <c r="N13" i="1" l="1"/>
  <c r="U13" i="1"/>
  <c r="T13" i="1"/>
  <c r="V5" i="1"/>
  <c r="V12" i="1"/>
  <c r="V10" i="1"/>
  <c r="V9" i="1"/>
  <c r="V8" i="1"/>
  <c r="V11" i="1"/>
  <c r="V7" i="1"/>
  <c r="V4" i="1"/>
  <c r="V6" i="1"/>
</calcChain>
</file>

<file path=xl/sharedStrings.xml><?xml version="1.0" encoding="utf-8"?>
<sst xmlns="http://schemas.openxmlformats.org/spreadsheetml/2006/main" count="42" uniqueCount="22">
  <si>
    <t>atalanta</t>
  </si>
  <si>
    <t>napoli</t>
  </si>
  <si>
    <t>inter</t>
  </si>
  <si>
    <t>lazio</t>
  </si>
  <si>
    <t>juventus</t>
  </si>
  <si>
    <t xml:space="preserve">milan </t>
  </si>
  <si>
    <t>roma</t>
  </si>
  <si>
    <t>g</t>
  </si>
  <si>
    <t>v</t>
  </si>
  <si>
    <t>n</t>
  </si>
  <si>
    <t>p</t>
  </si>
  <si>
    <t>f</t>
  </si>
  <si>
    <t>s</t>
  </si>
  <si>
    <t>dif</t>
  </si>
  <si>
    <t>pt</t>
  </si>
  <si>
    <t>como</t>
  </si>
  <si>
    <t>2-1</t>
  </si>
  <si>
    <t>1-1</t>
  </si>
  <si>
    <t>1-2</t>
  </si>
  <si>
    <t>udinese</t>
  </si>
  <si>
    <t>3-2</t>
  </si>
  <si>
    <t>2-2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</si>
</sst>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49" fontId="0" fillId="0" borderId="2" xfId="0" applyNumberFormat="1" applyBorder="1" applyAlignment="1">
      <alignment horizontal="center"/>
    </xf>
    <xf numFmtId="49" fontId="0" fillId="2" borderId="2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49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/>
  <dimension ref="B3:AD20"/>
  <sheetViews>
    <sheetView tabSelected="1" workbookViewId="0">
      <selection activeCell="N20" sqref="N20"/>
    </sheetView>
  </sheetViews>
  <sheetFormatPr defaultRowHeight="14.4" x14ac:dyDescent="0.3"/>
  <cols>
    <col min="2" max="2" width="11" customWidth="1"/>
    <col min="3" max="11" width="9.109375" style="4"/>
    <col min="14" max="16" width="4.44140625" customWidth="1"/>
    <col min="17" max="21" width="4.109375" customWidth="1"/>
    <col min="23" max="30" width="4.33203125" customWidth="1"/>
  </cols>
  <sheetData>
    <row r="3" spans="2:22" x14ac:dyDescent="0.3"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  <c r="I3" s="4" t="s">
        <v>19</v>
      </c>
      <c r="J3" s="4" t="s">
        <v>6</v>
      </c>
      <c r="K3" s="4" t="s">
        <v>15</v>
      </c>
      <c r="N3" t="s">
        <v>7</v>
      </c>
      <c r="O3" t="s">
        <v>8</v>
      </c>
      <c r="P3" t="s">
        <v>9</v>
      </c>
      <c r="Q3" t="s">
        <v>10</v>
      </c>
      <c r="R3" t="s">
        <v>11</v>
      </c>
      <c r="S3" t="s">
        <v>12</v>
      </c>
      <c r="T3" t="s">
        <v>13</v>
      </c>
      <c r="U3" t="s">
        <v>14</v>
      </c>
    </row>
    <row r="4" spans="2:22" x14ac:dyDescent="0.3">
      <c r="B4" t="s">
        <v>0</v>
      </c>
      <c r="C4" s="2"/>
      <c r="D4" s="3"/>
      <c r="E4" s="3"/>
      <c r="F4" s="3"/>
      <c r="G4" s="3"/>
      <c r="H4" s="3"/>
      <c r="I4" s="3"/>
      <c r="J4" s="3"/>
      <c r="K4" s="3"/>
      <c r="M4" t="s">
        <v>3</v>
      </c>
      <c r="N4" s="1">
        <f>SUM(O4:Q4)</f>
        <v>2</v>
      </c>
      <c r="O4" s="1">
        <v>1</v>
      </c>
      <c r="P4" s="1">
        <v>1</v>
      </c>
      <c r="Q4" s="1"/>
      <c r="R4" s="1">
        <v>4</v>
      </c>
      <c r="S4" s="1">
        <v>3</v>
      </c>
      <c r="T4" s="1">
        <f>SUM(R4-S4)</f>
        <v>1</v>
      </c>
      <c r="U4" s="1">
        <f>SUM((O4*3)+P4)</f>
        <v>4</v>
      </c>
      <c r="V4">
        <f>SUM(U4+T4*0.001+R4*0.00001)</f>
        <v>4.0010400000000006</v>
      </c>
    </row>
    <row r="5" spans="2:22" x14ac:dyDescent="0.3">
      <c r="B5" t="s">
        <v>1</v>
      </c>
      <c r="C5" s="3"/>
      <c r="D5" s="2"/>
      <c r="E5" s="3"/>
      <c r="F5" s="3"/>
      <c r="G5" s="3"/>
      <c r="H5" s="3"/>
      <c r="I5" s="3"/>
      <c r="J5" s="3"/>
      <c r="K5" s="3" t="s">
        <v>18</v>
      </c>
      <c r="M5" t="s">
        <v>15</v>
      </c>
      <c r="N5" s="1">
        <f>SUM(O5:Q5)</f>
        <v>2</v>
      </c>
      <c r="O5" s="1">
        <v>1</v>
      </c>
      <c r="P5" s="1">
        <v>1</v>
      </c>
      <c r="Q5" s="1"/>
      <c r="R5" s="1">
        <v>3</v>
      </c>
      <c r="S5" s="1">
        <v>2</v>
      </c>
      <c r="T5" s="1">
        <f>SUM(R5-S5)</f>
        <v>1</v>
      </c>
      <c r="U5" s="1">
        <f>SUM((O5*3)+P5)</f>
        <v>4</v>
      </c>
      <c r="V5">
        <f>SUM(U5+T5*0.001+R5*0.00001)</f>
        <v>4.0010300000000001</v>
      </c>
    </row>
    <row r="6" spans="2:22" x14ac:dyDescent="0.3">
      <c r="B6" t="s">
        <v>2</v>
      </c>
      <c r="C6" s="3"/>
      <c r="D6" s="3" t="s">
        <v>20</v>
      </c>
      <c r="E6" s="2"/>
      <c r="F6" s="3"/>
      <c r="G6" s="3"/>
      <c r="H6" s="3"/>
      <c r="I6" s="3"/>
      <c r="J6" s="3"/>
      <c r="K6" s="7"/>
      <c r="M6" t="s">
        <v>2</v>
      </c>
      <c r="N6" s="1">
        <f>SUM(O6:Q6)</f>
        <v>1</v>
      </c>
      <c r="O6" s="1">
        <v>1</v>
      </c>
      <c r="P6" s="1"/>
      <c r="Q6" s="1"/>
      <c r="R6" s="1">
        <v>3</v>
      </c>
      <c r="S6" s="1">
        <v>2</v>
      </c>
      <c r="T6" s="1">
        <f>SUM(R6-S6)</f>
        <v>1</v>
      </c>
      <c r="U6" s="1">
        <f>SUM((O6*3)+P6)</f>
        <v>3</v>
      </c>
      <c r="V6">
        <f>SUM(U6+T6*0.001+R6*0.00001)</f>
        <v>3.0010300000000001</v>
      </c>
    </row>
    <row r="7" spans="2:22" x14ac:dyDescent="0.3">
      <c r="B7" t="s">
        <v>3</v>
      </c>
      <c r="C7" s="3"/>
      <c r="D7" s="3"/>
      <c r="E7" s="3"/>
      <c r="F7" s="2"/>
      <c r="G7" s="3"/>
      <c r="H7" s="3" t="s">
        <v>21</v>
      </c>
      <c r="I7" s="3"/>
      <c r="J7" s="3"/>
      <c r="K7" s="7"/>
      <c r="M7" t="s">
        <v>6</v>
      </c>
      <c r="N7" s="1">
        <f>SUM(O7:Q7)</f>
        <v>1</v>
      </c>
      <c r="O7" s="1">
        <v>1</v>
      </c>
      <c r="P7" s="1"/>
      <c r="Q7" s="1"/>
      <c r="R7" s="1">
        <v>2</v>
      </c>
      <c r="S7" s="1">
        <v>1</v>
      </c>
      <c r="T7" s="1">
        <f>SUM(R7-S7)</f>
        <v>1</v>
      </c>
      <c r="U7" s="1">
        <f>SUM((O7*3)+P7)</f>
        <v>3</v>
      </c>
      <c r="V7">
        <f>SUM(U7+T7*0.001+R7*0.00001)</f>
        <v>3.00102</v>
      </c>
    </row>
    <row r="8" spans="2:22" x14ac:dyDescent="0.3">
      <c r="B8" t="s">
        <v>4</v>
      </c>
      <c r="C8" s="3"/>
      <c r="D8" s="3"/>
      <c r="E8" s="3"/>
      <c r="F8" s="3"/>
      <c r="G8" s="2"/>
      <c r="H8" s="3" t="s">
        <v>17</v>
      </c>
      <c r="I8" s="3"/>
      <c r="J8" s="3"/>
      <c r="K8" s="7"/>
      <c r="M8" t="s">
        <v>5</v>
      </c>
      <c r="N8" s="1">
        <f>SUM(O8:Q8)</f>
        <v>2</v>
      </c>
      <c r="O8" s="1"/>
      <c r="P8" s="1">
        <v>2</v>
      </c>
      <c r="Q8" s="1"/>
      <c r="R8" s="1">
        <v>3</v>
      </c>
      <c r="S8" s="1">
        <v>3</v>
      </c>
      <c r="T8" s="1">
        <f>SUM(R8-S8)</f>
        <v>0</v>
      </c>
      <c r="U8" s="1">
        <f>SUM((O8*3)+P8)</f>
        <v>2</v>
      </c>
      <c r="V8">
        <f>SUM(U8+T8*0.001+R8*0.00001)</f>
        <v>2.0000300000000002</v>
      </c>
    </row>
    <row r="9" spans="2:22" x14ac:dyDescent="0.3">
      <c r="B9" t="s">
        <v>5</v>
      </c>
      <c r="C9" s="3"/>
      <c r="D9" s="3"/>
      <c r="E9" s="3"/>
      <c r="F9" s="3"/>
      <c r="G9" s="3"/>
      <c r="H9" s="2"/>
      <c r="I9" s="3"/>
      <c r="J9" s="3"/>
      <c r="K9" s="7"/>
      <c r="M9" t="s">
        <v>4</v>
      </c>
      <c r="N9" s="1">
        <f>SUM(O9:Q9)</f>
        <v>1</v>
      </c>
      <c r="O9" s="1"/>
      <c r="P9" s="1">
        <v>1</v>
      </c>
      <c r="Q9" s="1"/>
      <c r="R9" s="1">
        <v>1</v>
      </c>
      <c r="S9" s="1">
        <v>1</v>
      </c>
      <c r="T9" s="1">
        <f>SUM(R9-S9)</f>
        <v>0</v>
      </c>
      <c r="U9" s="1">
        <f>SUM((O9*3)+P9)</f>
        <v>1</v>
      </c>
      <c r="V9">
        <f>SUM(U9+T9*0.001+R9*0.00001)</f>
        <v>1.0000100000000001</v>
      </c>
    </row>
    <row r="10" spans="2:22" x14ac:dyDescent="0.3">
      <c r="B10" t="s">
        <v>19</v>
      </c>
      <c r="C10" s="3"/>
      <c r="D10" s="3"/>
      <c r="E10" s="3"/>
      <c r="F10" s="3" t="s">
        <v>18</v>
      </c>
      <c r="G10" s="3"/>
      <c r="H10" s="3"/>
      <c r="I10" s="2"/>
      <c r="J10" s="3"/>
      <c r="K10" s="3" t="s">
        <v>17</v>
      </c>
      <c r="M10" t="s">
        <v>19</v>
      </c>
      <c r="N10" s="1">
        <f>SUM(O10:Q10)</f>
        <v>2</v>
      </c>
      <c r="O10" s="1"/>
      <c r="P10" s="1">
        <v>1</v>
      </c>
      <c r="Q10" s="1">
        <v>1</v>
      </c>
      <c r="R10" s="1">
        <v>2</v>
      </c>
      <c r="S10" s="1">
        <v>3</v>
      </c>
      <c r="T10" s="1">
        <f>SUM(R10-S10)</f>
        <v>-1</v>
      </c>
      <c r="U10" s="1">
        <f>SUM((O10*3)+P10)</f>
        <v>1</v>
      </c>
      <c r="V10">
        <f>SUM(U10+T10*0.001+R10*0.00001)</f>
        <v>0.99902000000000002</v>
      </c>
    </row>
    <row r="11" spans="2:22" x14ac:dyDescent="0.3">
      <c r="B11" t="s">
        <v>6</v>
      </c>
      <c r="C11" s="5" t="s">
        <v>16</v>
      </c>
      <c r="D11" s="5"/>
      <c r="E11" s="5"/>
      <c r="F11" s="5"/>
      <c r="G11" s="5"/>
      <c r="H11" s="5"/>
      <c r="I11" s="5"/>
      <c r="J11" s="6"/>
      <c r="K11" s="7"/>
      <c r="M11" t="s">
        <v>0</v>
      </c>
      <c r="N11" s="1">
        <f>SUM(O11:Q11)</f>
        <v>1</v>
      </c>
      <c r="O11" s="1"/>
      <c r="P11" s="1"/>
      <c r="Q11" s="1">
        <v>1</v>
      </c>
      <c r="R11" s="1">
        <v>1</v>
      </c>
      <c r="S11" s="1">
        <v>2</v>
      </c>
      <c r="T11" s="1">
        <f>SUM(R11-S11)</f>
        <v>-1</v>
      </c>
      <c r="U11" s="1">
        <f>SUM((O11*3)+P11)</f>
        <v>0</v>
      </c>
      <c r="V11">
        <f>SUM(U11+T11*0.001+R11*0.00001)</f>
        <v>-9.8999999999999999E-4</v>
      </c>
    </row>
    <row r="12" spans="2:22" x14ac:dyDescent="0.3">
      <c r="B12" t="s">
        <v>15</v>
      </c>
      <c r="C12" s="7"/>
      <c r="D12" s="7"/>
      <c r="E12" s="7"/>
      <c r="F12" s="7"/>
      <c r="G12" s="7"/>
      <c r="H12" s="7"/>
      <c r="I12" s="7"/>
      <c r="J12" s="7"/>
      <c r="K12" s="8"/>
      <c r="M12" t="s">
        <v>1</v>
      </c>
      <c r="N12" s="1">
        <f>SUM(O12:Q12)</f>
        <v>2</v>
      </c>
      <c r="O12" s="1"/>
      <c r="P12" s="1"/>
      <c r="Q12" s="1">
        <v>2</v>
      </c>
      <c r="R12" s="1">
        <v>3</v>
      </c>
      <c r="S12" s="1">
        <v>5</v>
      </c>
      <c r="T12" s="1">
        <f>SUM(R12-S12)</f>
        <v>-2</v>
      </c>
      <c r="U12" s="1">
        <f>SUM((O12*3)+P12)</f>
        <v>0</v>
      </c>
      <c r="V12">
        <f>SUM(U12+T12*0.001+R12*0.00001)</f>
        <v>-1.97E-3</v>
      </c>
    </row>
    <row r="13" spans="2:22" x14ac:dyDescent="0.3">
      <c r="N13">
        <f>SUM(N4:N12)</f>
        <v>14</v>
      </c>
      <c r="O13">
        <f>SUM(O4:O12)</f>
        <v>4</v>
      </c>
      <c r="P13">
        <f>SUM(P4:P12)</f>
        <v>6</v>
      </c>
      <c r="Q13">
        <f>SUM(Q4:Q12)</f>
        <v>4</v>
      </c>
      <c r="R13">
        <f>SUM(R4:R12)</f>
        <v>22</v>
      </c>
      <c r="S13">
        <f>SUM(S4:S12)</f>
        <v>22</v>
      </c>
      <c r="T13">
        <f>SUM(T4:T12)</f>
        <v>0</v>
      </c>
      <c r="U13">
        <f>SUM(U4:U12)</f>
        <v>18</v>
      </c>
    </row>
    <row r="17" spans="14:30" x14ac:dyDescent="0.3">
      <c r="W17" s="4"/>
      <c r="X17" s="4"/>
      <c r="Y17" s="4"/>
      <c r="Z17" s="4"/>
      <c r="AA17" s="4"/>
      <c r="AB17" s="4"/>
      <c r="AC17" s="4"/>
      <c r="AD17" s="4"/>
    </row>
    <row r="18" spans="14:30" x14ac:dyDescent="0.3">
      <c r="N18" s="9"/>
      <c r="O18" s="9"/>
      <c r="P18" s="9"/>
    </row>
    <row r="19" spans="14:30" x14ac:dyDescent="0.3">
      <c r="N19" s="9"/>
      <c r="O19" s="9"/>
      <c r="P19" s="9"/>
    </row>
    <row r="20" spans="14:30" x14ac:dyDescent="0.3">
      <c r="N20" s="9"/>
      <c r="O20" s="9"/>
      <c r="P20" s="9"/>
    </row>
  </sheetData>
  <sortState xmlns:xlrd2="http://schemas.microsoft.com/office/spreadsheetml/2017/richdata2" ref="M4:V13">
    <sortCondition descending="1" ref="V4:V1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soppelsa</dc:creator>
  <cp:lastModifiedBy>user3aa6 5</cp:lastModifiedBy>
  <dcterms:created xsi:type="dcterms:W3CDTF">2015-06-05T18:19:34Z</dcterms:created>
  <dcterms:modified xsi:type="dcterms:W3CDTF">2026-09-12T22:14:24Z</dcterms:modified>
</cp:coreProperties>
</file>