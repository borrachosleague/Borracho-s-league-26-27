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32A9FC03-D59F-4A80-8AA9-821D8A97B9FD}" xr6:coauthVersionLast="47" xr6:coauthVersionMax="47" xr10:uidLastSave="{00000000-0000-0000-0000-000000000000}"/>
  <bookViews>
    <workbookView xWindow="132" yWindow="144" windowWidth="11376" windowHeight="12000" firstSheet="4" activeTab="6" xr2:uid="{00000000-000D-0000-FFFF-FFFF00000000}"/>
  </bookViews>
  <sheets>
    <sheet name="Lista calciatori" sheetId="1" r:id="rId1"/>
    <sheet name="Foglio1" sheetId="12" r:id="rId2"/>
    <sheet name="medie scorse stagioni" sheetId="13" r:id="rId3"/>
    <sheet name="Foglio6" sheetId="7" r:id="rId4"/>
    <sheet name="porta" sheetId="3" r:id="rId5"/>
    <sheet name="dif" sheetId="4" r:id="rId6"/>
    <sheet name="ipotetica rossa" sheetId="11" r:id="rId7"/>
    <sheet name="cc" sheetId="5" r:id="rId8"/>
    <sheet name="att" sheetId="6" r:id="rId9"/>
    <sheet name="low cost" sheetId="2" r:id="rId10"/>
    <sheet name="60 att titolari" sheetId="10" r:id="rId11"/>
    <sheet name="80 difensori titolari" sheetId="8" r:id="rId12"/>
    <sheet name="80 cc titolari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1" i="13" l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3" i="13"/>
  <c r="G60" i="12"/>
  <c r="G65" i="12"/>
  <c r="G71" i="12"/>
  <c r="G54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5" i="12"/>
  <c r="G56" i="12"/>
  <c r="G57" i="12"/>
  <c r="G58" i="12"/>
  <c r="G59" i="12"/>
  <c r="G61" i="12"/>
  <c r="G62" i="12"/>
  <c r="G63" i="12"/>
  <c r="G64" i="12"/>
  <c r="G66" i="12"/>
  <c r="G67" i="12"/>
  <c r="G68" i="12"/>
  <c r="G69" i="12"/>
  <c r="G70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3" i="12"/>
  <c r="G5" i="11"/>
  <c r="I5" i="11" s="1"/>
  <c r="E3" i="11"/>
  <c r="E7" i="11"/>
  <c r="E16" i="11"/>
  <c r="E25" i="11"/>
  <c r="H2" i="6"/>
  <c r="H5" i="6"/>
  <c r="H6" i="6"/>
  <c r="H16" i="6"/>
  <c r="H7" i="6"/>
  <c r="H8" i="6"/>
  <c r="H9" i="6"/>
  <c r="H22" i="6"/>
  <c r="H17" i="6"/>
  <c r="H10" i="6"/>
  <c r="H30" i="6"/>
  <c r="H3" i="6"/>
  <c r="H31" i="6"/>
  <c r="H11" i="6"/>
  <c r="H18" i="6"/>
  <c r="H50" i="6"/>
  <c r="H56" i="6"/>
  <c r="H12" i="6"/>
  <c r="H46" i="6"/>
  <c r="H4" i="6"/>
  <c r="H32" i="6"/>
  <c r="H23" i="6"/>
  <c r="H13" i="6"/>
  <c r="H27" i="6"/>
  <c r="H57" i="6"/>
  <c r="H19" i="6"/>
  <c r="H34" i="6"/>
  <c r="H51" i="6"/>
  <c r="H28" i="6"/>
  <c r="H39" i="6"/>
  <c r="H20" i="6"/>
  <c r="H43" i="6"/>
  <c r="H60" i="6"/>
  <c r="H61" i="6"/>
  <c r="H35" i="6"/>
  <c r="H21" i="6"/>
  <c r="H40" i="6"/>
  <c r="H44" i="6"/>
  <c r="H45" i="6"/>
  <c r="H36" i="6"/>
  <c r="H24" i="6"/>
  <c r="H62" i="6"/>
  <c r="H29" i="6"/>
  <c r="H58" i="6"/>
  <c r="H14" i="6"/>
  <c r="H63" i="6"/>
  <c r="H15" i="6"/>
  <c r="H41" i="6"/>
  <c r="H64" i="6"/>
  <c r="H52" i="6"/>
  <c r="H25" i="6"/>
  <c r="H33" i="6"/>
  <c r="H53" i="6"/>
  <c r="H47" i="6"/>
  <c r="H59" i="6"/>
  <c r="H37" i="6"/>
  <c r="H65" i="6"/>
  <c r="H66" i="6"/>
  <c r="H67" i="6"/>
  <c r="H38" i="6"/>
  <c r="H68" i="6"/>
  <c r="H69" i="6"/>
  <c r="H42" i="6"/>
  <c r="H48" i="6"/>
  <c r="H70" i="6"/>
  <c r="H71" i="6"/>
  <c r="H72" i="6"/>
  <c r="H73" i="6"/>
  <c r="H74" i="6"/>
  <c r="H75" i="6"/>
  <c r="H49" i="6"/>
  <c r="H76" i="6"/>
  <c r="H26" i="6"/>
  <c r="H54" i="6"/>
  <c r="H77" i="6"/>
  <c r="H55" i="6"/>
  <c r="H78" i="6"/>
  <c r="H79" i="6"/>
  <c r="H80" i="6"/>
  <c r="H81" i="6"/>
  <c r="H82" i="6"/>
  <c r="H83" i="6"/>
  <c r="H84" i="6"/>
  <c r="H85" i="6"/>
  <c r="H86" i="6"/>
  <c r="H87" i="6"/>
  <c r="H88" i="6"/>
  <c r="H1" i="6"/>
  <c r="I149" i="5"/>
  <c r="I39" i="5"/>
  <c r="I74" i="5"/>
  <c r="I37" i="5"/>
  <c r="I67" i="5"/>
  <c r="I117" i="5"/>
  <c r="I107" i="5"/>
  <c r="I103" i="5"/>
  <c r="I168" i="5"/>
  <c r="I17" i="5"/>
  <c r="I109" i="5"/>
  <c r="I62" i="5"/>
  <c r="I9" i="5"/>
  <c r="I12" i="5"/>
  <c r="I41" i="5"/>
  <c r="I161" i="5"/>
  <c r="I82" i="5"/>
  <c r="I22" i="5"/>
  <c r="I47" i="5"/>
  <c r="I162" i="5"/>
  <c r="I154" i="5"/>
  <c r="I14" i="5"/>
  <c r="I28" i="5"/>
  <c r="I5" i="5"/>
  <c r="I73" i="5"/>
  <c r="I169" i="5"/>
  <c r="I123" i="5"/>
  <c r="I105" i="5"/>
  <c r="I116" i="5"/>
  <c r="I44" i="5"/>
  <c r="I112" i="5"/>
  <c r="I163" i="5"/>
  <c r="I97" i="5"/>
  <c r="I106" i="5"/>
  <c r="I155" i="5"/>
  <c r="I101" i="5"/>
  <c r="I94" i="5"/>
  <c r="I35" i="5"/>
  <c r="I177" i="5"/>
  <c r="I60" i="5"/>
  <c r="I64" i="5"/>
  <c r="I170" i="5"/>
  <c r="I24" i="5"/>
  <c r="I31" i="5"/>
  <c r="I178" i="5"/>
  <c r="I53" i="5"/>
  <c r="I98" i="5"/>
  <c r="I100" i="5"/>
  <c r="I118" i="5"/>
  <c r="I120" i="5"/>
  <c r="I95" i="5"/>
  <c r="I146" i="5"/>
  <c r="I119" i="5"/>
  <c r="I171" i="5"/>
  <c r="I20" i="5"/>
  <c r="I11" i="5"/>
  <c r="I142" i="5"/>
  <c r="I134" i="5"/>
  <c r="I172" i="5"/>
  <c r="I85" i="5"/>
  <c r="I156" i="5"/>
  <c r="I173" i="5"/>
  <c r="I63" i="5"/>
  <c r="I36" i="5"/>
  <c r="I128" i="5"/>
  <c r="I48" i="5"/>
  <c r="I129" i="5"/>
  <c r="I65" i="5"/>
  <c r="I179" i="5"/>
  <c r="I136" i="5"/>
  <c r="I150" i="5"/>
  <c r="I133" i="5"/>
  <c r="I42" i="5"/>
  <c r="I25" i="5"/>
  <c r="I52" i="5"/>
  <c r="I72" i="5"/>
  <c r="I157" i="5"/>
  <c r="I151" i="5"/>
  <c r="I88" i="5"/>
  <c r="I174" i="5"/>
  <c r="I66" i="5"/>
  <c r="I86" i="5"/>
  <c r="I114" i="5"/>
  <c r="I158" i="5"/>
  <c r="I180" i="5"/>
  <c r="I175" i="5"/>
  <c r="I113" i="5"/>
  <c r="I55" i="5"/>
  <c r="I126" i="5"/>
  <c r="I181" i="5"/>
  <c r="I26" i="5"/>
  <c r="I29" i="5"/>
  <c r="I122" i="5"/>
  <c r="I139" i="5"/>
  <c r="I21" i="5"/>
  <c r="I144" i="5"/>
  <c r="I115" i="5"/>
  <c r="I182" i="5"/>
  <c r="I183" i="5"/>
  <c r="I124" i="5"/>
  <c r="I79" i="5"/>
  <c r="I184" i="5"/>
  <c r="I13" i="5"/>
  <c r="I23" i="5"/>
  <c r="I127" i="5"/>
  <c r="I145" i="5"/>
  <c r="I132" i="5"/>
  <c r="I81" i="5"/>
  <c r="I84" i="5"/>
  <c r="I33" i="5"/>
  <c r="I30" i="5"/>
  <c r="I32" i="5"/>
  <c r="I4" i="5"/>
  <c r="I110" i="5"/>
  <c r="I130" i="5"/>
  <c r="I111" i="5"/>
  <c r="I92" i="5"/>
  <c r="I147" i="5"/>
  <c r="I138" i="5"/>
  <c r="I10" i="5"/>
  <c r="I59" i="5"/>
  <c r="I80" i="5"/>
  <c r="I152" i="5"/>
  <c r="I164" i="5"/>
  <c r="I46" i="5"/>
  <c r="I49" i="5"/>
  <c r="I57" i="5"/>
  <c r="I121" i="5"/>
  <c r="I108" i="5"/>
  <c r="I165" i="5"/>
  <c r="I69" i="5"/>
  <c r="I6" i="5"/>
  <c r="I56" i="5"/>
  <c r="I87" i="5"/>
  <c r="I3" i="5"/>
  <c r="I135" i="5"/>
  <c r="I89" i="5"/>
  <c r="I34" i="5"/>
  <c r="I71" i="5"/>
  <c r="I27" i="5"/>
  <c r="I91" i="5"/>
  <c r="I140" i="5"/>
  <c r="I102" i="5"/>
  <c r="I76" i="5"/>
  <c r="I131" i="5"/>
  <c r="I166" i="5"/>
  <c r="I15" i="5"/>
  <c r="I7" i="5"/>
  <c r="I148" i="5"/>
  <c r="I96" i="5"/>
  <c r="I50" i="5"/>
  <c r="I38" i="5"/>
  <c r="I51" i="5"/>
  <c r="I43" i="5"/>
  <c r="I61" i="5"/>
  <c r="I45" i="5"/>
  <c r="I75" i="5"/>
  <c r="I93" i="5"/>
  <c r="I58" i="5"/>
  <c r="I153" i="5"/>
  <c r="I78" i="5"/>
  <c r="I159" i="5"/>
  <c r="I19" i="5"/>
  <c r="I54" i="5"/>
  <c r="I68" i="5"/>
  <c r="I143" i="5"/>
  <c r="I99" i="5"/>
  <c r="I70" i="5"/>
  <c r="I167" i="5"/>
  <c r="I104" i="5"/>
  <c r="I18" i="5"/>
  <c r="I137" i="5"/>
  <c r="I40" i="5"/>
  <c r="I16" i="5"/>
  <c r="I125" i="5"/>
  <c r="I90" i="5"/>
  <c r="I8" i="5"/>
  <c r="I176" i="5"/>
  <c r="I83" i="5"/>
  <c r="I141" i="5"/>
  <c r="I77" i="5"/>
  <c r="I160" i="5"/>
  <c r="H149" i="5"/>
  <c r="H39" i="5"/>
  <c r="H74" i="5"/>
  <c r="H37" i="5"/>
  <c r="H67" i="5"/>
  <c r="H117" i="5"/>
  <c r="H107" i="5"/>
  <c r="H103" i="5"/>
  <c r="H168" i="5"/>
  <c r="H17" i="5"/>
  <c r="H109" i="5"/>
  <c r="H62" i="5"/>
  <c r="H9" i="5"/>
  <c r="H12" i="5"/>
  <c r="H41" i="5"/>
  <c r="H161" i="5"/>
  <c r="H82" i="5"/>
  <c r="H22" i="5"/>
  <c r="H47" i="5"/>
  <c r="H162" i="5"/>
  <c r="H154" i="5"/>
  <c r="H14" i="5"/>
  <c r="H28" i="5"/>
  <c r="H5" i="5"/>
  <c r="H73" i="5"/>
  <c r="H169" i="5"/>
  <c r="H123" i="5"/>
  <c r="H105" i="5"/>
  <c r="H116" i="5"/>
  <c r="H44" i="5"/>
  <c r="H112" i="5"/>
  <c r="H163" i="5"/>
  <c r="H97" i="5"/>
  <c r="H106" i="5"/>
  <c r="H155" i="5"/>
  <c r="H101" i="5"/>
  <c r="H94" i="5"/>
  <c r="H35" i="5"/>
  <c r="H177" i="5"/>
  <c r="H60" i="5"/>
  <c r="H64" i="5"/>
  <c r="H170" i="5"/>
  <c r="H24" i="5"/>
  <c r="H31" i="5"/>
  <c r="H178" i="5"/>
  <c r="H53" i="5"/>
  <c r="H98" i="5"/>
  <c r="H100" i="5"/>
  <c r="H118" i="5"/>
  <c r="H120" i="5"/>
  <c r="H95" i="5"/>
  <c r="H146" i="5"/>
  <c r="H119" i="5"/>
  <c r="H171" i="5"/>
  <c r="H20" i="5"/>
  <c r="H11" i="5"/>
  <c r="H142" i="5"/>
  <c r="H134" i="5"/>
  <c r="H172" i="5"/>
  <c r="H85" i="5"/>
  <c r="H156" i="5"/>
  <c r="H173" i="5"/>
  <c r="H63" i="5"/>
  <c r="H36" i="5"/>
  <c r="H128" i="5"/>
  <c r="H48" i="5"/>
  <c r="H129" i="5"/>
  <c r="H65" i="5"/>
  <c r="H179" i="5"/>
  <c r="H136" i="5"/>
  <c r="H150" i="5"/>
  <c r="H133" i="5"/>
  <c r="H42" i="5"/>
  <c r="H25" i="5"/>
  <c r="H52" i="5"/>
  <c r="H72" i="5"/>
  <c r="H157" i="5"/>
  <c r="H151" i="5"/>
  <c r="H88" i="5"/>
  <c r="H174" i="5"/>
  <c r="H66" i="5"/>
  <c r="H86" i="5"/>
  <c r="H114" i="5"/>
  <c r="H158" i="5"/>
  <c r="H180" i="5"/>
  <c r="H175" i="5"/>
  <c r="H113" i="5"/>
  <c r="H55" i="5"/>
  <c r="H126" i="5"/>
  <c r="H181" i="5"/>
  <c r="H26" i="5"/>
  <c r="H29" i="5"/>
  <c r="H122" i="5"/>
  <c r="H139" i="5"/>
  <c r="H21" i="5"/>
  <c r="H144" i="5"/>
  <c r="H115" i="5"/>
  <c r="H182" i="5"/>
  <c r="H183" i="5"/>
  <c r="H124" i="5"/>
  <c r="H79" i="5"/>
  <c r="H184" i="5"/>
  <c r="H13" i="5"/>
  <c r="H23" i="5"/>
  <c r="H127" i="5"/>
  <c r="H145" i="5"/>
  <c r="H132" i="5"/>
  <c r="H81" i="5"/>
  <c r="H84" i="5"/>
  <c r="H33" i="5"/>
  <c r="H30" i="5"/>
  <c r="H32" i="5"/>
  <c r="H4" i="5"/>
  <c r="H110" i="5"/>
  <c r="H130" i="5"/>
  <c r="H111" i="5"/>
  <c r="H92" i="5"/>
  <c r="H147" i="5"/>
  <c r="H138" i="5"/>
  <c r="H10" i="5"/>
  <c r="H59" i="5"/>
  <c r="H80" i="5"/>
  <c r="H152" i="5"/>
  <c r="H164" i="5"/>
  <c r="H46" i="5"/>
  <c r="H49" i="5"/>
  <c r="H57" i="5"/>
  <c r="H121" i="5"/>
  <c r="H108" i="5"/>
  <c r="H165" i="5"/>
  <c r="H69" i="5"/>
  <c r="H6" i="5"/>
  <c r="H56" i="5"/>
  <c r="H87" i="5"/>
  <c r="H3" i="5"/>
  <c r="H135" i="5"/>
  <c r="H89" i="5"/>
  <c r="H34" i="5"/>
  <c r="H71" i="5"/>
  <c r="H27" i="5"/>
  <c r="H91" i="5"/>
  <c r="H140" i="5"/>
  <c r="H102" i="5"/>
  <c r="H76" i="5"/>
  <c r="H131" i="5"/>
  <c r="H166" i="5"/>
  <c r="H15" i="5"/>
  <c r="H7" i="5"/>
  <c r="H148" i="5"/>
  <c r="H96" i="5"/>
  <c r="H50" i="5"/>
  <c r="H38" i="5"/>
  <c r="H51" i="5"/>
  <c r="H43" i="5"/>
  <c r="H61" i="5"/>
  <c r="H45" i="5"/>
  <c r="H75" i="5"/>
  <c r="H93" i="5"/>
  <c r="H58" i="5"/>
  <c r="H153" i="5"/>
  <c r="H78" i="5"/>
  <c r="H159" i="5"/>
  <c r="H19" i="5"/>
  <c r="H54" i="5"/>
  <c r="H68" i="5"/>
  <c r="H143" i="5"/>
  <c r="H99" i="5"/>
  <c r="H70" i="5"/>
  <c r="H167" i="5"/>
  <c r="H104" i="5"/>
  <c r="H18" i="5"/>
  <c r="H137" i="5"/>
  <c r="H40" i="5"/>
  <c r="H16" i="5"/>
  <c r="H125" i="5"/>
  <c r="H90" i="5"/>
  <c r="H8" i="5"/>
  <c r="H176" i="5"/>
  <c r="H83" i="5"/>
  <c r="H141" i="5"/>
  <c r="H77" i="5"/>
  <c r="H160" i="5"/>
  <c r="I5" i="4"/>
  <c r="I6" i="4"/>
  <c r="I7" i="4"/>
  <c r="I12" i="4"/>
  <c r="I44" i="4"/>
  <c r="I13" i="4"/>
  <c r="I9" i="4"/>
  <c r="I14" i="4"/>
  <c r="I58" i="4"/>
  <c r="I15" i="4"/>
  <c r="I16" i="4"/>
  <c r="I10" i="4"/>
  <c r="I74" i="4"/>
  <c r="I91" i="4"/>
  <c r="I17" i="4"/>
  <c r="I18" i="4"/>
  <c r="I43" i="4"/>
  <c r="I103" i="4"/>
  <c r="I19" i="4"/>
  <c r="I136" i="4"/>
  <c r="I45" i="4"/>
  <c r="I20" i="4"/>
  <c r="I8" i="4"/>
  <c r="I51" i="4"/>
  <c r="I85" i="4"/>
  <c r="I50" i="4"/>
  <c r="I11" i="4"/>
  <c r="I21" i="4"/>
  <c r="I59" i="4"/>
  <c r="I90" i="4"/>
  <c r="I75" i="4"/>
  <c r="I22" i="4"/>
  <c r="I92" i="4"/>
  <c r="I65" i="4"/>
  <c r="I52" i="4"/>
  <c r="I66" i="4"/>
  <c r="I23" i="4"/>
  <c r="I24" i="4"/>
  <c r="I25" i="4"/>
  <c r="I26" i="4"/>
  <c r="I105" i="4"/>
  <c r="I53" i="4"/>
  <c r="I27" i="4"/>
  <c r="I46" i="4"/>
  <c r="I67" i="4"/>
  <c r="I28" i="4"/>
  <c r="I54" i="4"/>
  <c r="I77" i="4"/>
  <c r="I60" i="4"/>
  <c r="I78" i="4"/>
  <c r="I61" i="4"/>
  <c r="I137" i="4"/>
  <c r="I93" i="4"/>
  <c r="I4" i="4"/>
  <c r="I47" i="4"/>
  <c r="I94" i="4"/>
  <c r="I95" i="4"/>
  <c r="I106" i="4"/>
  <c r="I125" i="4"/>
  <c r="I29" i="4"/>
  <c r="I119" i="4"/>
  <c r="I30" i="4"/>
  <c r="I123" i="4"/>
  <c r="I79" i="4"/>
  <c r="I80" i="4"/>
  <c r="I138" i="4"/>
  <c r="I31" i="4"/>
  <c r="I86" i="4"/>
  <c r="I120" i="4"/>
  <c r="I139" i="4"/>
  <c r="I32" i="4"/>
  <c r="I115" i="4"/>
  <c r="I107" i="4"/>
  <c r="I33" i="4"/>
  <c r="I48" i="4"/>
  <c r="I34" i="4"/>
  <c r="I104" i="4"/>
  <c r="I35" i="4"/>
  <c r="I49" i="4"/>
  <c r="I87" i="4"/>
  <c r="I96" i="4"/>
  <c r="I36" i="4"/>
  <c r="I62" i="4"/>
  <c r="I140" i="4"/>
  <c r="I81" i="4"/>
  <c r="I141" i="4"/>
  <c r="I142" i="4"/>
  <c r="I69" i="4"/>
  <c r="I70" i="4"/>
  <c r="I37" i="4"/>
  <c r="I126" i="4"/>
  <c r="I124" i="4"/>
  <c r="I101" i="4"/>
  <c r="I71" i="4"/>
  <c r="I63" i="4"/>
  <c r="I143" i="4"/>
  <c r="I102" i="4"/>
  <c r="I88" i="4"/>
  <c r="I144" i="4"/>
  <c r="I38" i="4"/>
  <c r="I68" i="4"/>
  <c r="I64" i="4"/>
  <c r="I55" i="4"/>
  <c r="I108" i="4"/>
  <c r="I112" i="4"/>
  <c r="I39" i="4"/>
  <c r="I76" i="4"/>
  <c r="I97" i="4"/>
  <c r="I145" i="4"/>
  <c r="I146" i="4"/>
  <c r="I147" i="4"/>
  <c r="I109" i="4"/>
  <c r="I40" i="4"/>
  <c r="I116" i="4"/>
  <c r="I82" i="4"/>
  <c r="I73" i="4"/>
  <c r="I83" i="4"/>
  <c r="I56" i="4"/>
  <c r="I121" i="4"/>
  <c r="I72" i="4"/>
  <c r="I57" i="4"/>
  <c r="I127" i="4"/>
  <c r="I98" i="4"/>
  <c r="I84" i="4"/>
  <c r="I148" i="4"/>
  <c r="I117" i="4"/>
  <c r="I89" i="4"/>
  <c r="I149" i="4"/>
  <c r="I110" i="4"/>
  <c r="I128" i="4"/>
  <c r="I150" i="4"/>
  <c r="I129" i="4"/>
  <c r="I135" i="4"/>
  <c r="I111" i="4"/>
  <c r="I41" i="4"/>
  <c r="I122" i="4"/>
  <c r="I42" i="4"/>
  <c r="I151" i="4"/>
  <c r="I152" i="4"/>
  <c r="I153" i="4"/>
  <c r="I130" i="4"/>
  <c r="I113" i="4"/>
  <c r="I114" i="4"/>
  <c r="I131" i="4"/>
  <c r="I154" i="4"/>
  <c r="I132" i="4"/>
  <c r="I155" i="4"/>
  <c r="I156" i="4"/>
  <c r="I133" i="4"/>
  <c r="I99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18" i="4"/>
  <c r="I169" i="4"/>
  <c r="I170" i="4"/>
  <c r="I171" i="4"/>
  <c r="I172" i="4"/>
  <c r="I134" i="4"/>
  <c r="I173" i="4"/>
  <c r="I174" i="4"/>
  <c r="I175" i="4"/>
  <c r="I176" i="4"/>
  <c r="I100" i="4"/>
  <c r="I177" i="4"/>
  <c r="I178" i="4"/>
  <c r="I179" i="4"/>
  <c r="I180" i="4"/>
  <c r="I3" i="4"/>
  <c r="H5" i="4"/>
  <c r="H6" i="4"/>
  <c r="H7" i="4"/>
  <c r="H12" i="4"/>
  <c r="H44" i="4"/>
  <c r="H13" i="4"/>
  <c r="H9" i="4"/>
  <c r="H14" i="4"/>
  <c r="H58" i="4"/>
  <c r="H15" i="4"/>
  <c r="H16" i="4"/>
  <c r="H10" i="4"/>
  <c r="H74" i="4"/>
  <c r="H91" i="4"/>
  <c r="H17" i="4"/>
  <c r="H18" i="4"/>
  <c r="H43" i="4"/>
  <c r="H103" i="4"/>
  <c r="H19" i="4"/>
  <c r="H136" i="4"/>
  <c r="H45" i="4"/>
  <c r="H20" i="4"/>
  <c r="H8" i="4"/>
  <c r="H51" i="4"/>
  <c r="H85" i="4"/>
  <c r="H50" i="4"/>
  <c r="H11" i="4"/>
  <c r="H21" i="4"/>
  <c r="H59" i="4"/>
  <c r="H90" i="4"/>
  <c r="H75" i="4"/>
  <c r="H22" i="4"/>
  <c r="H92" i="4"/>
  <c r="H65" i="4"/>
  <c r="H52" i="4"/>
  <c r="H66" i="4"/>
  <c r="H23" i="4"/>
  <c r="H24" i="4"/>
  <c r="H25" i="4"/>
  <c r="H26" i="4"/>
  <c r="H105" i="4"/>
  <c r="H53" i="4"/>
  <c r="H27" i="4"/>
  <c r="H46" i="4"/>
  <c r="H67" i="4"/>
  <c r="H28" i="4"/>
  <c r="H54" i="4"/>
  <c r="H77" i="4"/>
  <c r="H60" i="4"/>
  <c r="H78" i="4"/>
  <c r="H61" i="4"/>
  <c r="H137" i="4"/>
  <c r="H93" i="4"/>
  <c r="H4" i="4"/>
  <c r="H47" i="4"/>
  <c r="H94" i="4"/>
  <c r="H95" i="4"/>
  <c r="H106" i="4"/>
  <c r="H125" i="4"/>
  <c r="H29" i="4"/>
  <c r="H119" i="4"/>
  <c r="H30" i="4"/>
  <c r="H123" i="4"/>
  <c r="H79" i="4"/>
  <c r="H80" i="4"/>
  <c r="H138" i="4"/>
  <c r="H31" i="4"/>
  <c r="H86" i="4"/>
  <c r="H120" i="4"/>
  <c r="H139" i="4"/>
  <c r="H32" i="4"/>
  <c r="H115" i="4"/>
  <c r="H107" i="4"/>
  <c r="H33" i="4"/>
  <c r="H48" i="4"/>
  <c r="H34" i="4"/>
  <c r="H104" i="4"/>
  <c r="H35" i="4"/>
  <c r="H49" i="4"/>
  <c r="H87" i="4"/>
  <c r="H96" i="4"/>
  <c r="H36" i="4"/>
  <c r="H62" i="4"/>
  <c r="H140" i="4"/>
  <c r="H81" i="4"/>
  <c r="H141" i="4"/>
  <c r="H142" i="4"/>
  <c r="H69" i="4"/>
  <c r="H70" i="4"/>
  <c r="H37" i="4"/>
  <c r="H126" i="4"/>
  <c r="H124" i="4"/>
  <c r="H101" i="4"/>
  <c r="H71" i="4"/>
  <c r="H63" i="4"/>
  <c r="H143" i="4"/>
  <c r="H102" i="4"/>
  <c r="H88" i="4"/>
  <c r="H144" i="4"/>
  <c r="H38" i="4"/>
  <c r="H68" i="4"/>
  <c r="H64" i="4"/>
  <c r="H55" i="4"/>
  <c r="H108" i="4"/>
  <c r="H112" i="4"/>
  <c r="H39" i="4"/>
  <c r="H76" i="4"/>
  <c r="H97" i="4"/>
  <c r="H145" i="4"/>
  <c r="H146" i="4"/>
  <c r="H147" i="4"/>
  <c r="H109" i="4"/>
  <c r="H40" i="4"/>
  <c r="H116" i="4"/>
  <c r="H82" i="4"/>
  <c r="H73" i="4"/>
  <c r="H83" i="4"/>
  <c r="H56" i="4"/>
  <c r="H121" i="4"/>
  <c r="H72" i="4"/>
  <c r="H57" i="4"/>
  <c r="H127" i="4"/>
  <c r="H98" i="4"/>
  <c r="H84" i="4"/>
  <c r="H148" i="4"/>
  <c r="H117" i="4"/>
  <c r="H89" i="4"/>
  <c r="H149" i="4"/>
  <c r="H110" i="4"/>
  <c r="H128" i="4"/>
  <c r="H150" i="4"/>
  <c r="H129" i="4"/>
  <c r="H135" i="4"/>
  <c r="H111" i="4"/>
  <c r="H41" i="4"/>
  <c r="H122" i="4"/>
  <c r="H42" i="4"/>
  <c r="H151" i="4"/>
  <c r="H152" i="4"/>
  <c r="H153" i="4"/>
  <c r="H130" i="4"/>
  <c r="H113" i="4"/>
  <c r="H114" i="4"/>
  <c r="H131" i="4"/>
  <c r="H154" i="4"/>
  <c r="H132" i="4"/>
  <c r="H155" i="4"/>
  <c r="H156" i="4"/>
  <c r="H133" i="4"/>
  <c r="H99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18" i="4"/>
  <c r="H169" i="4"/>
  <c r="H170" i="4"/>
  <c r="H171" i="4"/>
  <c r="H172" i="4"/>
  <c r="H134" i="4"/>
  <c r="H173" i="4"/>
  <c r="H174" i="4"/>
  <c r="H175" i="4"/>
  <c r="H176" i="4"/>
  <c r="H100" i="4"/>
  <c r="H177" i="4"/>
  <c r="H178" i="4"/>
  <c r="H179" i="4"/>
  <c r="H180" i="4"/>
  <c r="H3" i="4"/>
  <c r="G3" i="11" l="1"/>
  <c r="I3" i="11" s="1"/>
</calcChain>
</file>

<file path=xl/sharedStrings.xml><?xml version="1.0" encoding="utf-8"?>
<sst xmlns="http://schemas.openxmlformats.org/spreadsheetml/2006/main" count="10121" uniqueCount="767">
  <si>
    <t>Nome</t>
  </si>
  <si>
    <t>Sq.</t>
  </si>
  <si>
    <t>Under</t>
  </si>
  <si>
    <t>R.</t>
  </si>
  <si>
    <t>R.MANTRA</t>
  </si>
  <si>
    <t>FVM/1000</t>
  </si>
  <si>
    <t>Martinez L.</t>
  </si>
  <si>
    <t>Inter</t>
  </si>
  <si>
    <t>A</t>
  </si>
  <si>
    <t>Pc</t>
  </si>
  <si>
    <t>Malen</t>
  </si>
  <si>
    <t>Roma</t>
  </si>
  <si>
    <t>Thuram</t>
  </si>
  <si>
    <t>Hojlund</t>
  </si>
  <si>
    <t>Napoli</t>
  </si>
  <si>
    <t>Dimarco</t>
  </si>
  <si>
    <t>D</t>
  </si>
  <si>
    <t>E/W</t>
  </si>
  <si>
    <t>Paz N.</t>
  </si>
  <si>
    <t>Como</t>
  </si>
  <si>
    <t>C</t>
  </si>
  <si>
    <t>T/A</t>
  </si>
  <si>
    <t>McTominay</t>
  </si>
  <si>
    <t>C/T</t>
  </si>
  <si>
    <t>Ramos G.</t>
  </si>
  <si>
    <t>Milan</t>
  </si>
  <si>
    <t>Calhanoglu</t>
  </si>
  <si>
    <t>M/C</t>
  </si>
  <si>
    <t>Kolo Muani</t>
  </si>
  <si>
    <t>Juventus</t>
  </si>
  <si>
    <t>Kean</t>
  </si>
  <si>
    <t>Fiorentina</t>
  </si>
  <si>
    <t>Orsolini</t>
  </si>
  <si>
    <t>Bologna</t>
  </si>
  <si>
    <t>W/A</t>
  </si>
  <si>
    <t>Yildiz</t>
  </si>
  <si>
    <t>Pulisic</t>
  </si>
  <si>
    <t>Douvikas</t>
  </si>
  <si>
    <t>Scamacca</t>
  </si>
  <si>
    <t>Atalanta</t>
  </si>
  <si>
    <t>Rabiot</t>
  </si>
  <si>
    <t>Davis K.</t>
  </si>
  <si>
    <t>Udinese</t>
  </si>
  <si>
    <t>Leao</t>
  </si>
  <si>
    <t>Berardi</t>
  </si>
  <si>
    <t>Sassuolo</t>
  </si>
  <si>
    <t>De Ketelaere</t>
  </si>
  <si>
    <t>Mora</t>
  </si>
  <si>
    <t>T</t>
  </si>
  <si>
    <t>Baturina</t>
  </si>
  <si>
    <t>Zaniolo</t>
  </si>
  <si>
    <t>De Bruyne</t>
  </si>
  <si>
    <t>Krstovic</t>
  </si>
  <si>
    <t>Esposito F.P.</t>
  </si>
  <si>
    <t>Zaccagni</t>
  </si>
  <si>
    <t>Lazio</t>
  </si>
  <si>
    <t>Da Cunha</t>
  </si>
  <si>
    <t>Laurientè</t>
  </si>
  <si>
    <t>Atta</t>
  </si>
  <si>
    <t>Molina N.</t>
  </si>
  <si>
    <t>E</t>
  </si>
  <si>
    <t>Wesley</t>
  </si>
  <si>
    <t>Castro S.</t>
  </si>
  <si>
    <t>Simeone</t>
  </si>
  <si>
    <t>Torino</t>
  </si>
  <si>
    <t>Vlasic</t>
  </si>
  <si>
    <t>Barella</t>
  </si>
  <si>
    <t>Dovbyk</t>
  </si>
  <si>
    <t>Dybala</t>
  </si>
  <si>
    <t>McKennie</t>
  </si>
  <si>
    <t>Svilar</t>
  </si>
  <si>
    <t>P</t>
  </si>
  <si>
    <t>Por</t>
  </si>
  <si>
    <t>Colombo</t>
  </si>
  <si>
    <t>Genoa</t>
  </si>
  <si>
    <t>Taylor K.</t>
  </si>
  <si>
    <t>Martinez Jo.</t>
  </si>
  <si>
    <t>Raspadori</t>
  </si>
  <si>
    <t>Gudmundsson A.</t>
  </si>
  <si>
    <t>Pellegrino M.</t>
  </si>
  <si>
    <t>Conceicao</t>
  </si>
  <si>
    <t>Santos A.</t>
  </si>
  <si>
    <t>Mastantuono</t>
  </si>
  <si>
    <t>W/T</t>
  </si>
  <si>
    <t>Pinamonti</t>
  </si>
  <si>
    <t>Alajbegovic</t>
  </si>
  <si>
    <t>Frattesi</t>
  </si>
  <si>
    <t>Akanji</t>
  </si>
  <si>
    <t>Dc</t>
  </si>
  <si>
    <t>Butez</t>
  </si>
  <si>
    <t>Vicario</t>
  </si>
  <si>
    <t>Soulè</t>
  </si>
  <si>
    <t>Zambo Anguissa</t>
  </si>
  <si>
    <t>Adams A.</t>
  </si>
  <si>
    <t>Venezia</t>
  </si>
  <si>
    <t>Moreira</t>
  </si>
  <si>
    <t>W</t>
  </si>
  <si>
    <t>Carnesecchi</t>
  </si>
  <si>
    <t>Diao</t>
  </si>
  <si>
    <t>Modric</t>
  </si>
  <si>
    <t>Bremer</t>
  </si>
  <si>
    <t>Mancini</t>
  </si>
  <si>
    <t>Maignan</t>
  </si>
  <si>
    <t>Kevin Carlos</t>
  </si>
  <si>
    <t>Cagliari</t>
  </si>
  <si>
    <t>Politano</t>
  </si>
  <si>
    <t>Pavlovic</t>
  </si>
  <si>
    <t>Rrahmani</t>
  </si>
  <si>
    <t>Ederson D.S.</t>
  </si>
  <si>
    <t>Solet</t>
  </si>
  <si>
    <t>Kalulu</t>
  </si>
  <si>
    <t>Dd/Dc</t>
  </si>
  <si>
    <t>De Gea</t>
  </si>
  <si>
    <t>Meret</t>
  </si>
  <si>
    <t>Tourè E.</t>
  </si>
  <si>
    <t>Parma</t>
  </si>
  <si>
    <t>Saelemaekers</t>
  </si>
  <si>
    <t>N'Dicka</t>
  </si>
  <si>
    <t>Bastoni</t>
  </si>
  <si>
    <t>Ekkelenkamp</t>
  </si>
  <si>
    <t>Thorstvedt</t>
  </si>
  <si>
    <t>Konè M.</t>
  </si>
  <si>
    <t>Thuram K.</t>
  </si>
  <si>
    <t>Samardzic</t>
  </si>
  <si>
    <t>Zielinski</t>
  </si>
  <si>
    <t>Spence</t>
  </si>
  <si>
    <t>Bowie</t>
  </si>
  <si>
    <t>David</t>
  </si>
  <si>
    <t>Esposito Se.</t>
  </si>
  <si>
    <t>Ostigard</t>
  </si>
  <si>
    <t>Di Lorenzo</t>
  </si>
  <si>
    <t>Dd/E</t>
  </si>
  <si>
    <t>Romero D.</t>
  </si>
  <si>
    <t>Rowe</t>
  </si>
  <si>
    <t>Diouf</t>
  </si>
  <si>
    <t>E/C</t>
  </si>
  <si>
    <t>Perrone</t>
  </si>
  <si>
    <t>Casadei</t>
  </si>
  <si>
    <t>Stones</t>
  </si>
  <si>
    <t>Skorupski</t>
  </si>
  <si>
    <t>Bernabè</t>
  </si>
  <si>
    <t>Cutrone</t>
  </si>
  <si>
    <t>Monza</t>
  </si>
  <si>
    <t>Vergara</t>
  </si>
  <si>
    <t>Bisseck</t>
  </si>
  <si>
    <t>Vasquez</t>
  </si>
  <si>
    <t>Ds/Dc</t>
  </si>
  <si>
    <t>Ratkov</t>
  </si>
  <si>
    <t>Adams C.</t>
  </si>
  <si>
    <t>Dia</t>
  </si>
  <si>
    <t>Piccoli</t>
  </si>
  <si>
    <t>Rodriguez Je.</t>
  </si>
  <si>
    <t>Pasalic</t>
  </si>
  <si>
    <t>Locatelli</t>
  </si>
  <si>
    <t>Ramon</t>
  </si>
  <si>
    <t>Gila</t>
  </si>
  <si>
    <t>Ghedjemis</t>
  </si>
  <si>
    <t>Frosinone</t>
  </si>
  <si>
    <t>Schmid</t>
  </si>
  <si>
    <t>Baldanzi</t>
  </si>
  <si>
    <t>Cristante</t>
  </si>
  <si>
    <t>Dodò</t>
  </si>
  <si>
    <t>Mandas</t>
  </si>
  <si>
    <t>Okoye</t>
  </si>
  <si>
    <t>Yeboah J.</t>
  </si>
  <si>
    <t>Oristanio</t>
  </si>
  <si>
    <t>Cancellieri</t>
  </si>
  <si>
    <t>Mandragora</t>
  </si>
  <si>
    <t>Pellegrini Lo.</t>
  </si>
  <si>
    <t>Couto</t>
  </si>
  <si>
    <t>Carlos Augusto</t>
  </si>
  <si>
    <t>B/Ds/E</t>
  </si>
  <si>
    <t>Scalvini</t>
  </si>
  <si>
    <t>Cambiaso</t>
  </si>
  <si>
    <t>Dd/Ds/E</t>
  </si>
  <si>
    <t>Dragusin</t>
  </si>
  <si>
    <t>Caprile</t>
  </si>
  <si>
    <t>Geubbels</t>
  </si>
  <si>
    <t>Lecce</t>
  </si>
  <si>
    <t>Nkunku</t>
  </si>
  <si>
    <t>Boga</t>
  </si>
  <si>
    <t>Calò</t>
  </si>
  <si>
    <t>Sucic P.</t>
  </si>
  <si>
    <t>Isaksen</t>
  </si>
  <si>
    <t>Ndour</t>
  </si>
  <si>
    <t>Colpani</t>
  </si>
  <si>
    <t>Cambiaghi</t>
  </si>
  <si>
    <t>Bartesaghi</t>
  </si>
  <si>
    <t>Ds/E</t>
  </si>
  <si>
    <t>Chalobah T.</t>
  </si>
  <si>
    <t>Hermoso</t>
  </si>
  <si>
    <t>Gabbia</t>
  </si>
  <si>
    <t>Falcone</t>
  </si>
  <si>
    <t>Raimondo</t>
  </si>
  <si>
    <t>Unai Gomez</t>
  </si>
  <si>
    <t>Volpato</t>
  </si>
  <si>
    <t>Fofana Y.</t>
  </si>
  <si>
    <t>Fagioli</t>
  </si>
  <si>
    <t>Gaetano</t>
  </si>
  <si>
    <t>Kaiki</t>
  </si>
  <si>
    <t>Jimenez A.</t>
  </si>
  <si>
    <t>Valeri</t>
  </si>
  <si>
    <t>Miranda J.</t>
  </si>
  <si>
    <t>Spinazzola</t>
  </si>
  <si>
    <t>Zappacosta</t>
  </si>
  <si>
    <t>Romagnoli</t>
  </si>
  <si>
    <t>Neres</t>
  </si>
  <si>
    <t>Bonny</t>
  </si>
  <si>
    <t>Maldini</t>
  </si>
  <si>
    <t>Liberali</t>
  </si>
  <si>
    <t>Zalewski</t>
  </si>
  <si>
    <t>Odgaard</t>
  </si>
  <si>
    <t>Bernardeschi</t>
  </si>
  <si>
    <t>Norton-Cuffy</t>
  </si>
  <si>
    <t>Delprato</t>
  </si>
  <si>
    <t>B/Dd/E</t>
  </si>
  <si>
    <t>Doekhi</t>
  </si>
  <si>
    <t>Rrahmani Al.</t>
  </si>
  <si>
    <t>Camarda</t>
  </si>
  <si>
    <t>Vitinha O.</t>
  </si>
  <si>
    <t>Oulai</t>
  </si>
  <si>
    <t>Konè I.</t>
  </si>
  <si>
    <t>Karlstrom</t>
  </si>
  <si>
    <t>Pierotti</t>
  </si>
  <si>
    <t>Fazzini</t>
  </si>
  <si>
    <t>Frendrup</t>
  </si>
  <si>
    <t>Basic</t>
  </si>
  <si>
    <t>Caqueret</t>
  </si>
  <si>
    <t>Lobotka</t>
  </si>
  <si>
    <t>Mkhitaryan</t>
  </si>
  <si>
    <t>Koulierakis</t>
  </si>
  <si>
    <t>Viery</t>
  </si>
  <si>
    <t>Idzes</t>
  </si>
  <si>
    <t>Kristensen T.</t>
  </si>
  <si>
    <t>Vojvoda</t>
  </si>
  <si>
    <t>Zortea</t>
  </si>
  <si>
    <t>Mina</t>
  </si>
  <si>
    <t>Marusic</t>
  </si>
  <si>
    <t>Stulic</t>
  </si>
  <si>
    <t>Noslin</t>
  </si>
  <si>
    <t>Mota</t>
  </si>
  <si>
    <t>Zapata D.</t>
  </si>
  <si>
    <t>Cacciamani</t>
  </si>
  <si>
    <t>El Aynaoui</t>
  </si>
  <si>
    <t>Pisilli</t>
  </si>
  <si>
    <t>Ellertsson</t>
  </si>
  <si>
    <t>Ferguson</t>
  </si>
  <si>
    <t>Zhegrova</t>
  </si>
  <si>
    <t>Nicolussi Caviglia</t>
  </si>
  <si>
    <t>Valdepenas</t>
  </si>
  <si>
    <t>Bernasconi</t>
  </si>
  <si>
    <t>Tiago Gabriel</t>
  </si>
  <si>
    <t>Valle</t>
  </si>
  <si>
    <t>Circati</t>
  </si>
  <si>
    <t>Coco</t>
  </si>
  <si>
    <t>Lucumì</t>
  </si>
  <si>
    <t>Tavares N.</t>
  </si>
  <si>
    <t>Ismajli</t>
  </si>
  <si>
    <t>Pavard</t>
  </si>
  <si>
    <t>Bijlow</t>
  </si>
  <si>
    <t>Mutandwa</t>
  </si>
  <si>
    <t>Kvernadze</t>
  </si>
  <si>
    <t>Sulemana K.</t>
  </si>
  <si>
    <t>Piotrowski</t>
  </si>
  <si>
    <t>Tourè I.</t>
  </si>
  <si>
    <t>E/M</t>
  </si>
  <si>
    <t>Keita M.</t>
  </si>
  <si>
    <t>Adzic</t>
  </si>
  <si>
    <t>Akinsanmiro</t>
  </si>
  <si>
    <t>Berisha M.</t>
  </si>
  <si>
    <t>Rovella</t>
  </si>
  <si>
    <t>Pessina</t>
  </si>
  <si>
    <t>Matic</t>
  </si>
  <si>
    <t>Mangas</t>
  </si>
  <si>
    <t>Obrador</t>
  </si>
  <si>
    <t>Heggem</t>
  </si>
  <si>
    <t>Rensch</t>
  </si>
  <si>
    <t>Ahanor</t>
  </si>
  <si>
    <t>Hien</t>
  </si>
  <si>
    <t>Bellanova</t>
  </si>
  <si>
    <t>Pedraza</t>
  </si>
  <si>
    <t>Buongiorno</t>
  </si>
  <si>
    <t>Martin</t>
  </si>
  <si>
    <t>Muric</t>
  </si>
  <si>
    <t>Frigan</t>
  </si>
  <si>
    <t>Gimenez</t>
  </si>
  <si>
    <t>Adorante</t>
  </si>
  <si>
    <t>Milik</t>
  </si>
  <si>
    <t>Grillitsch</t>
  </si>
  <si>
    <t>Fitz-Jim</t>
  </si>
  <si>
    <t>Milla</t>
  </si>
  <si>
    <t>Meichtry</t>
  </si>
  <si>
    <t>Gandelman</t>
  </si>
  <si>
    <t>Bakola</t>
  </si>
  <si>
    <t>Perez K.</t>
  </si>
  <si>
    <t>Dele-Bashiru</t>
  </si>
  <si>
    <t>Almqvist</t>
  </si>
  <si>
    <t>Gineitis</t>
  </si>
  <si>
    <t>Zerbin</t>
  </si>
  <si>
    <t>Sow</t>
  </si>
  <si>
    <t>Koopmeiners</t>
  </si>
  <si>
    <t>Busio</t>
  </si>
  <si>
    <t>Coulibaly L.</t>
  </si>
  <si>
    <t>Sohm</t>
  </si>
  <si>
    <t>Luis Henrique</t>
  </si>
  <si>
    <t>Pobega</t>
  </si>
  <si>
    <t>Adopo</t>
  </si>
  <si>
    <t>Winks</t>
  </si>
  <si>
    <t>Bella-Kotchap</t>
  </si>
  <si>
    <t>Fortini</t>
  </si>
  <si>
    <t>Kempf</t>
  </si>
  <si>
    <t>Marcandalli</t>
  </si>
  <si>
    <t>Pedersen</t>
  </si>
  <si>
    <t>Beukema</t>
  </si>
  <si>
    <t>Olivera</t>
  </si>
  <si>
    <t>Obert</t>
  </si>
  <si>
    <t>Holm</t>
  </si>
  <si>
    <t>Monterisi</t>
  </si>
  <si>
    <t>Celik</t>
  </si>
  <si>
    <t>Gallo</t>
  </si>
  <si>
    <t>Stankovic F.</t>
  </si>
  <si>
    <t>Elphege</t>
  </si>
  <si>
    <t>Diallo O.</t>
  </si>
  <si>
    <t>Amondarain</t>
  </si>
  <si>
    <t>Koutsoupias</t>
  </si>
  <si>
    <t>Cichella</t>
  </si>
  <si>
    <t>Amorim</t>
  </si>
  <si>
    <t>Ngom</t>
  </si>
  <si>
    <t>Romano</t>
  </si>
  <si>
    <t>Sorensen O.</t>
  </si>
  <si>
    <t>Miller L.</t>
  </si>
  <si>
    <t>Jashari</t>
  </si>
  <si>
    <t>Dominguez B.</t>
  </si>
  <si>
    <t>Njie</t>
  </si>
  <si>
    <t>Miretti</t>
  </si>
  <si>
    <t>Ricci S.</t>
  </si>
  <si>
    <t>Douglas Luiz</t>
  </si>
  <si>
    <t>Chukwueze</t>
  </si>
  <si>
    <t>Loftus-Cheek</t>
  </si>
  <si>
    <t>Traorè Hj.</t>
  </si>
  <si>
    <t>Cataldi</t>
  </si>
  <si>
    <t>De Roon</t>
  </si>
  <si>
    <t>Favasuli</t>
  </si>
  <si>
    <t>Kofler</t>
  </si>
  <si>
    <t>Bracaglia</t>
  </si>
  <si>
    <t>Zè Pedro</t>
  </si>
  <si>
    <t>Siebert</t>
  </si>
  <si>
    <t>Floriani Mussolini</t>
  </si>
  <si>
    <t>Vitik</t>
  </si>
  <si>
    <t>Veiga D.</t>
  </si>
  <si>
    <t>Candè</t>
  </si>
  <si>
    <t>Moreno M.</t>
  </si>
  <si>
    <t>Lucchesi</t>
  </si>
  <si>
    <t>Gaspar K.</t>
  </si>
  <si>
    <t>Comuzzo</t>
  </si>
  <si>
    <t>Oyono A.</t>
  </si>
  <si>
    <t>Birindelli</t>
  </si>
  <si>
    <t>De Winter</t>
  </si>
  <si>
    <t>Haps</t>
  </si>
  <si>
    <t>Kamara H.</t>
  </si>
  <si>
    <t>Parisi</t>
  </si>
  <si>
    <t>Correia T.</t>
  </si>
  <si>
    <t>Tomori</t>
  </si>
  <si>
    <t>Terzic</t>
  </si>
  <si>
    <t>Kolasinac</t>
  </si>
  <si>
    <t>Delli Carri</t>
  </si>
  <si>
    <t>Thiam</t>
  </si>
  <si>
    <t>Robinson J.</t>
  </si>
  <si>
    <t>Havel</t>
  </si>
  <si>
    <t>Mendy P.</t>
  </si>
  <si>
    <t>Kulenovic</t>
  </si>
  <si>
    <t>Giovane</t>
  </si>
  <si>
    <t>Lang</t>
  </si>
  <si>
    <t>N'Dri</t>
  </si>
  <si>
    <t>Ekhator</t>
  </si>
  <si>
    <t>Borrelli</t>
  </si>
  <si>
    <t>Lucca</t>
  </si>
  <si>
    <t>Morata</t>
  </si>
  <si>
    <t>Addai</t>
  </si>
  <si>
    <t>Felici</t>
  </si>
  <si>
    <t xml:space="preserve">Fini </t>
  </si>
  <si>
    <t>Stankovic A.</t>
  </si>
  <si>
    <t>Folorunsho</t>
  </si>
  <si>
    <t>Moro N.</t>
  </si>
  <si>
    <t>Ilkhan</t>
  </si>
  <si>
    <t>Gilmour</t>
  </si>
  <si>
    <t>Halhal</t>
  </si>
  <si>
    <t>Mitaj</t>
  </si>
  <si>
    <t>Comert</t>
  </si>
  <si>
    <t>Calvani</t>
  </si>
  <si>
    <t>Rodriguez Ju.</t>
  </si>
  <si>
    <t>Britschgi</t>
  </si>
  <si>
    <t>Kouadio</t>
  </si>
  <si>
    <t>Smolcic I.</t>
  </si>
  <si>
    <t>Provstgaard</t>
  </si>
  <si>
    <t>Kelly L.</t>
  </si>
  <si>
    <t>Ghilardi</t>
  </si>
  <si>
    <t>Doig</t>
  </si>
  <si>
    <t>Gatti</t>
  </si>
  <si>
    <t>Bertola</t>
  </si>
  <si>
    <t>Dd/Ds/Dc</t>
  </si>
  <si>
    <t>Zanoli</t>
  </si>
  <si>
    <t>Valenti</t>
  </si>
  <si>
    <t>Estupinan</t>
  </si>
  <si>
    <t>Carboni A.</t>
  </si>
  <si>
    <t>Zappa</t>
  </si>
  <si>
    <t>Walukiewicz</t>
  </si>
  <si>
    <t>Kabasele</t>
  </si>
  <si>
    <t>Di Gregorio</t>
  </si>
  <si>
    <t>Milinkovic-Savic V.</t>
  </si>
  <si>
    <t>Varela G.</t>
  </si>
  <si>
    <t>Gueye</t>
  </si>
  <si>
    <t>Colombo L.</t>
  </si>
  <si>
    <t>Cissè A.</t>
  </si>
  <si>
    <t>Prati</t>
  </si>
  <si>
    <t>Gelli F.</t>
  </si>
  <si>
    <t>Fabbian</t>
  </si>
  <si>
    <t>Sulemana I.</t>
  </si>
  <si>
    <t>Helgason</t>
  </si>
  <si>
    <t>Messias</t>
  </si>
  <si>
    <t>Brescianini</t>
  </si>
  <si>
    <t>Deiola</t>
  </si>
  <si>
    <t>Akpoguma</t>
  </si>
  <si>
    <t>Puczka</t>
  </si>
  <si>
    <t>Arizala</t>
  </si>
  <si>
    <t>Troilo</t>
  </si>
  <si>
    <t>Joao Mario</t>
  </si>
  <si>
    <t>Idrissi R.</t>
  </si>
  <si>
    <t>Schingtienne</t>
  </si>
  <si>
    <t>Hainaut</t>
  </si>
  <si>
    <t>Sverko</t>
  </si>
  <si>
    <t>Cittadini</t>
  </si>
  <si>
    <t>Pongracic</t>
  </si>
  <si>
    <t>Kossounou</t>
  </si>
  <si>
    <t>Ranieri L.</t>
  </si>
  <si>
    <t>Lazzari</t>
  </si>
  <si>
    <t>Desplanches</t>
  </si>
  <si>
    <t>Palmisani</t>
  </si>
  <si>
    <t>Kuhn</t>
  </si>
  <si>
    <t>Petagna</t>
  </si>
  <si>
    <t>Chakvetadze</t>
  </si>
  <si>
    <t>Przyborek</t>
  </si>
  <si>
    <t>Aboukhlal</t>
  </si>
  <si>
    <t>Ordonez C.</t>
  </si>
  <si>
    <t>Venturino</t>
  </si>
  <si>
    <t>Hasa</t>
  </si>
  <si>
    <t>Lipani</t>
  </si>
  <si>
    <t>Boloca</t>
  </si>
  <si>
    <t>Belahyane</t>
  </si>
  <si>
    <t>Ciurria</t>
  </si>
  <si>
    <t>Maleh</t>
  </si>
  <si>
    <t>Musah</t>
  </si>
  <si>
    <t>C/W</t>
  </si>
  <si>
    <t>Aurelio</t>
  </si>
  <si>
    <t>Alhassane</t>
  </si>
  <si>
    <t>Helland</t>
  </si>
  <si>
    <t>Otoa</t>
  </si>
  <si>
    <t>Palma</t>
  </si>
  <si>
    <t>Van Der Brempt</t>
  </si>
  <si>
    <t>Marin R.</t>
  </si>
  <si>
    <t>Casale</t>
  </si>
  <si>
    <t>Pellegrini Lu.</t>
  </si>
  <si>
    <t>Sabelli</t>
  </si>
  <si>
    <t>Biraghi</t>
  </si>
  <si>
    <t>Daffara</t>
  </si>
  <si>
    <t>Provedel</t>
  </si>
  <si>
    <t>Perin</t>
  </si>
  <si>
    <t>Lontani</t>
  </si>
  <si>
    <t>Buksa</t>
  </si>
  <si>
    <t>Bayo V.</t>
  </si>
  <si>
    <t>Vaz</t>
  </si>
  <si>
    <t>El Azzouzi A.</t>
  </si>
  <si>
    <t>Camara A.</t>
  </si>
  <si>
    <t>Cremaschi</t>
  </si>
  <si>
    <t>Gorter</t>
  </si>
  <si>
    <t>Masini</t>
  </si>
  <si>
    <t>Anjorin</t>
  </si>
  <si>
    <t>Fadera</t>
  </si>
  <si>
    <t>El Azzouzi O.</t>
  </si>
  <si>
    <t>Zarraga</t>
  </si>
  <si>
    <t>Kone B.</t>
  </si>
  <si>
    <t>Ilic</t>
  </si>
  <si>
    <t>Duncan</t>
  </si>
  <si>
    <t>Diawara S.</t>
  </si>
  <si>
    <t>Franjic</t>
  </si>
  <si>
    <t>Bakoune</t>
  </si>
  <si>
    <t>Corrado</t>
  </si>
  <si>
    <t>Oyono J.</t>
  </si>
  <si>
    <t>Mlacic</t>
  </si>
  <si>
    <t>Ndiaye</t>
  </si>
  <si>
    <t>Ndaba</t>
  </si>
  <si>
    <t>Jean</t>
  </si>
  <si>
    <t>Marianucci</t>
  </si>
  <si>
    <t>Sagrado</t>
  </si>
  <si>
    <t>Carboni F.</t>
  </si>
  <si>
    <t>Cabal</t>
  </si>
  <si>
    <t>Abankwah</t>
  </si>
  <si>
    <t>Ebosse</t>
  </si>
  <si>
    <t>Mazzocchi</t>
  </si>
  <si>
    <t>De Silvestri</t>
  </si>
  <si>
    <t>Patric</t>
  </si>
  <si>
    <t>Rugani</t>
  </si>
  <si>
    <t>Turati</t>
  </si>
  <si>
    <t>De Martis</t>
  </si>
  <si>
    <t>Lauberbach</t>
  </si>
  <si>
    <t>Lisman</t>
  </si>
  <si>
    <t>Albarracin</t>
  </si>
  <si>
    <t>Trepy</t>
  </si>
  <si>
    <t>Moro L.</t>
  </si>
  <si>
    <t>Azon</t>
  </si>
  <si>
    <t>Comotto</t>
  </si>
  <si>
    <t>Laerke</t>
  </si>
  <si>
    <t>Dagasso</t>
  </si>
  <si>
    <t>Lahdo</t>
  </si>
  <si>
    <t>Fofana Sa.</t>
  </si>
  <si>
    <t>Liteta</t>
  </si>
  <si>
    <t>Iannoni</t>
  </si>
  <si>
    <t>Forson O.</t>
  </si>
  <si>
    <t>Kaba</t>
  </si>
  <si>
    <t>Omar Fayed</t>
  </si>
  <si>
    <t>Gomes</t>
  </si>
  <si>
    <t>Ziolkowski</t>
  </si>
  <si>
    <t>Pieragnolo</t>
  </si>
  <si>
    <t>Odenthal</t>
  </si>
  <si>
    <t>Matturro</t>
  </si>
  <si>
    <t>Missori</t>
  </si>
  <si>
    <t>Amey</t>
  </si>
  <si>
    <t>Antov</t>
  </si>
  <si>
    <t>Goldaniga</t>
  </si>
  <si>
    <t>Pisseri</t>
  </si>
  <si>
    <t>Penev</t>
  </si>
  <si>
    <t>Vismara</t>
  </si>
  <si>
    <t>Renzetti</t>
  </si>
  <si>
    <t>Happonen</t>
  </si>
  <si>
    <t>Pozzi</t>
  </si>
  <si>
    <t>Strajnar</t>
  </si>
  <si>
    <t>Lolic</t>
  </si>
  <si>
    <t>Mascardi</t>
  </si>
  <si>
    <t>Siviero</t>
  </si>
  <si>
    <t>Motta</t>
  </si>
  <si>
    <t>Tornqvist</t>
  </si>
  <si>
    <t>Pessina Mas.</t>
  </si>
  <si>
    <t>De Marzi</t>
  </si>
  <si>
    <t>Torriani</t>
  </si>
  <si>
    <t>Pizzignacco</t>
  </si>
  <si>
    <t>Grandi</t>
  </si>
  <si>
    <t>Corvi</t>
  </si>
  <si>
    <t>Sherri</t>
  </si>
  <si>
    <t>Stolz</t>
  </si>
  <si>
    <t>Christensen O.</t>
  </si>
  <si>
    <t>Piana</t>
  </si>
  <si>
    <t>Paleari</t>
  </si>
  <si>
    <t>Montipò</t>
  </si>
  <si>
    <t>Russo A.</t>
  </si>
  <si>
    <t>Bleve</t>
  </si>
  <si>
    <t>Contini</t>
  </si>
  <si>
    <t>Terracciano</t>
  </si>
  <si>
    <t>Vigorito</t>
  </si>
  <si>
    <t>Satalino</t>
  </si>
  <si>
    <t>Pinsoglio</t>
  </si>
  <si>
    <t>Di Gennaro</t>
  </si>
  <si>
    <t>Gollini</t>
  </si>
  <si>
    <t>Padelli</t>
  </si>
  <si>
    <t>Sommariva</t>
  </si>
  <si>
    <t>Lezzerini</t>
  </si>
  <si>
    <t>Sportiello</t>
  </si>
  <si>
    <t>Radunovic</t>
  </si>
  <si>
    <t>rig</t>
  </si>
  <si>
    <t>puniz</t>
  </si>
  <si>
    <t>da bonus</t>
  </si>
  <si>
    <t>atalanta</t>
  </si>
  <si>
    <t>ahanor</t>
  </si>
  <si>
    <t>infortunato autunno</t>
  </si>
  <si>
    <t>hien</t>
  </si>
  <si>
    <t>pasalic</t>
  </si>
  <si>
    <t>krstovic</t>
  </si>
  <si>
    <t>bellanova</t>
  </si>
  <si>
    <t>bologna</t>
  </si>
  <si>
    <t>amondarain-odgaard</t>
  </si>
  <si>
    <t>piccoli</t>
  </si>
  <si>
    <t>cambiaghi</t>
  </si>
  <si>
    <t>casale</t>
  </si>
  <si>
    <t>cagliari</t>
  </si>
  <si>
    <t>mendy</t>
  </si>
  <si>
    <t>kofler</t>
  </si>
  <si>
    <t>prati - felici</t>
  </si>
  <si>
    <t>zappa</t>
  </si>
  <si>
    <t>como</t>
  </si>
  <si>
    <t>caqueret</t>
  </si>
  <si>
    <t>kempf</t>
  </si>
  <si>
    <t>smolcic</t>
  </si>
  <si>
    <t>rodriguez</t>
  </si>
  <si>
    <t>valle</t>
  </si>
  <si>
    <t>fiorentina</t>
  </si>
  <si>
    <t>oulai</t>
  </si>
  <si>
    <t>joao mario</t>
  </si>
  <si>
    <t>mandragora</t>
  </si>
  <si>
    <t>ranieri</t>
  </si>
  <si>
    <t>frosinone</t>
  </si>
  <si>
    <t>terzic</t>
  </si>
  <si>
    <t>akpoguma</t>
  </si>
  <si>
    <t>cichella-zerbin</t>
  </si>
  <si>
    <t>genoa</t>
  </si>
  <si>
    <t>traore</t>
  </si>
  <si>
    <t>martin</t>
  </si>
  <si>
    <t>amorim</t>
  </si>
  <si>
    <t>meichtry</t>
  </si>
  <si>
    <t>inter</t>
  </si>
  <si>
    <t>diouf</t>
  </si>
  <si>
    <t>bisseck</t>
  </si>
  <si>
    <t>esposito</t>
  </si>
  <si>
    <t>sucic</t>
  </si>
  <si>
    <t>juve</t>
  </si>
  <si>
    <t>infortunato</t>
  </si>
  <si>
    <t>lazio</t>
  </si>
  <si>
    <t>isaksen</t>
  </si>
  <si>
    <t>ratkov</t>
  </si>
  <si>
    <t>floriani</t>
  </si>
  <si>
    <t>tavares</t>
  </si>
  <si>
    <t>lecce</t>
  </si>
  <si>
    <t>gandelman</t>
  </si>
  <si>
    <t>siebert</t>
  </si>
  <si>
    <t>stulic</t>
  </si>
  <si>
    <t>gorter</t>
  </si>
  <si>
    <t>milan</t>
  </si>
  <si>
    <t>noreira</t>
  </si>
  <si>
    <t>de winter</t>
  </si>
  <si>
    <t>terraciano</t>
  </si>
  <si>
    <t>diawara</t>
  </si>
  <si>
    <t>chukwueze</t>
  </si>
  <si>
    <t>monza</t>
  </si>
  <si>
    <t>forson</t>
  </si>
  <si>
    <t>lucchesi</t>
  </si>
  <si>
    <t>robinson-vareela</t>
  </si>
  <si>
    <t>infortunio lungo</t>
  </si>
  <si>
    <t>napoli</t>
  </si>
  <si>
    <t>buongiorno</t>
  </si>
  <si>
    <t>infortunato lungo</t>
  </si>
  <si>
    <t>anguissa-vergara</t>
  </si>
  <si>
    <t>neres</t>
  </si>
  <si>
    <t>olivera</t>
  </si>
  <si>
    <t>badiashile</t>
  </si>
  <si>
    <t>parma</t>
  </si>
  <si>
    <t>corvi</t>
  </si>
  <si>
    <t>diallo</t>
  </si>
  <si>
    <t>sorensen</t>
  </si>
  <si>
    <t>elphege</t>
  </si>
  <si>
    <t>roma</t>
  </si>
  <si>
    <t>castro</t>
  </si>
  <si>
    <t>koulierakis</t>
  </si>
  <si>
    <t>pellegrini</t>
  </si>
  <si>
    <t>sassuolo</t>
  </si>
  <si>
    <t>bakola</t>
  </si>
  <si>
    <t>doig</t>
  </si>
  <si>
    <t>bowie</t>
  </si>
  <si>
    <t>lipani</t>
  </si>
  <si>
    <t>missori</t>
  </si>
  <si>
    <t>leysen</t>
  </si>
  <si>
    <t>torino</t>
  </si>
  <si>
    <t>oristanio</t>
  </si>
  <si>
    <t>ismajili</t>
  </si>
  <si>
    <t>luongo</t>
  </si>
  <si>
    <t>perri</t>
  </si>
  <si>
    <t>udinese</t>
  </si>
  <si>
    <t>palma</t>
  </si>
  <si>
    <t>unai gomez</t>
  </si>
  <si>
    <t>miller</t>
  </si>
  <si>
    <t>venezia</t>
  </si>
  <si>
    <t>rrahmani</t>
  </si>
  <si>
    <t>moreno</t>
  </si>
  <si>
    <t>correia</t>
  </si>
  <si>
    <t>montipo</t>
  </si>
  <si>
    <t>quit 1000</t>
  </si>
  <si>
    <t>mantra</t>
  </si>
  <si>
    <t>ruolo</t>
  </si>
  <si>
    <t>eta</t>
  </si>
  <si>
    <t>sq</t>
  </si>
  <si>
    <t>nome</t>
  </si>
  <si>
    <t>titolare</t>
  </si>
  <si>
    <t>rigori e piazzati</t>
  </si>
  <si>
    <t>affidablita</t>
  </si>
  <si>
    <t>1 credito</t>
  </si>
  <si>
    <t>prima</t>
  </si>
  <si>
    <t>seconda</t>
  </si>
  <si>
    <t>terza</t>
  </si>
  <si>
    <t>Gudmundsson</t>
  </si>
  <si>
    <t>Mc Kennie</t>
  </si>
  <si>
    <t>Frattessi</t>
  </si>
  <si>
    <t>Ederson</t>
  </si>
  <si>
    <t>Curtis Jones</t>
  </si>
  <si>
    <t>Saelemakers</t>
  </si>
  <si>
    <t>70-80</t>
  </si>
  <si>
    <t>lautaro</t>
  </si>
  <si>
    <t>malen</t>
  </si>
  <si>
    <t>hojlund</t>
  </si>
  <si>
    <t>kolo muani</t>
  </si>
  <si>
    <t>douvikas</t>
  </si>
  <si>
    <t>thuram</t>
  </si>
  <si>
    <t>kean</t>
  </si>
  <si>
    <t>g.ramos</t>
  </si>
  <si>
    <t>yildiz</t>
  </si>
  <si>
    <t>simeone</t>
  </si>
  <si>
    <t>dybala</t>
  </si>
  <si>
    <t>scamacca</t>
  </si>
  <si>
    <t>davis</t>
  </si>
  <si>
    <t>leao</t>
  </si>
  <si>
    <t>de ketelaere</t>
  </si>
  <si>
    <t>Rrhamani</t>
  </si>
  <si>
    <t>Ndicka</t>
  </si>
  <si>
    <t>Kamara</t>
  </si>
  <si>
    <t>GALLO</t>
  </si>
  <si>
    <t>Fitz-jim</t>
  </si>
  <si>
    <t>Douglas luiz</t>
  </si>
  <si>
    <t>Vitinha</t>
  </si>
  <si>
    <t>Adams c.</t>
  </si>
  <si>
    <t>rosa</t>
  </si>
  <si>
    <t>p</t>
  </si>
  <si>
    <t>c</t>
  </si>
  <si>
    <t>d</t>
  </si>
  <si>
    <t>a</t>
  </si>
  <si>
    <t>yeboah</t>
  </si>
  <si>
    <t>ndri</t>
  </si>
  <si>
    <t>vitinha</t>
  </si>
  <si>
    <t>bijlow</t>
  </si>
  <si>
    <t>carnesecchi</t>
  </si>
  <si>
    <t>sportiello/stolz</t>
  </si>
  <si>
    <t>akinsanmiro</t>
  </si>
  <si>
    <t>atta/gudmundsson</t>
  </si>
  <si>
    <t>birindelli</t>
  </si>
  <si>
    <t>monterisi</t>
  </si>
  <si>
    <t>marcandalli</t>
  </si>
  <si>
    <t>gallo</t>
  </si>
  <si>
    <t>basic</t>
  </si>
  <si>
    <t>busio</t>
  </si>
  <si>
    <t>schmid/sow/pierotti</t>
  </si>
  <si>
    <t xml:space="preserve"> </t>
  </si>
  <si>
    <t>valdepenas</t>
  </si>
  <si>
    <t>molina</t>
  </si>
  <si>
    <t>couto</t>
  </si>
  <si>
    <t>kaiki</t>
  </si>
  <si>
    <t>ekkelenkamp</t>
  </si>
  <si>
    <t>ederson</t>
  </si>
  <si>
    <t>mc kennie</t>
  </si>
  <si>
    <t>vojvoda</t>
  </si>
  <si>
    <t>media voto</t>
  </si>
  <si>
    <t>sv88</t>
  </si>
  <si>
    <t>sv83</t>
  </si>
  <si>
    <t>25-26</t>
  </si>
  <si>
    <t>24-25</t>
  </si>
  <si>
    <t>23-24</t>
  </si>
  <si>
    <t>22-23</t>
  </si>
  <si>
    <t>21-22</t>
  </si>
  <si>
    <t>20-21</t>
  </si>
  <si>
    <t>sv81</t>
  </si>
  <si>
    <t>sv85</t>
  </si>
  <si>
    <t>sv87</t>
  </si>
  <si>
    <t>Kouda R.</t>
  </si>
  <si>
    <t>Konatè</t>
  </si>
  <si>
    <t>media</t>
  </si>
  <si>
    <t>Koudà R.</t>
  </si>
  <si>
    <t>26-27</t>
  </si>
  <si>
    <t>6.7</t>
  </si>
  <si>
    <t>19-20</t>
  </si>
  <si>
    <t>18-19</t>
  </si>
  <si>
    <t>17-18</t>
  </si>
  <si>
    <t>16-17</t>
  </si>
  <si>
    <t>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</si>
</sst>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  <font>
      <b/>
      <sz val="8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4" borderId="0" xfId="0" applyFont="1" applyFill="1" applyAlignment="1">
      <alignment horizontal="center"/>
    </xf>
    <xf numFmtId="0" fontId="2" fillId="5" borderId="0" xfId="0" applyFont="1" applyFill="1"/>
    <xf numFmtId="0" fontId="0" fillId="5" borderId="0" xfId="0" applyFill="1"/>
    <xf numFmtId="0" fontId="2" fillId="0" borderId="0" xfId="0" applyFont="1" applyAlignment="1">
      <alignment horizontal="center" vertical="center"/>
    </xf>
    <xf numFmtId="0" fontId="0" fillId="6" borderId="0" xfId="0" applyFill="1"/>
    <xf numFmtId="0" fontId="5" fillId="2" borderId="0" xfId="0" applyFont="1" applyFill="1"/>
    <xf numFmtId="0" fontId="5" fillId="4" borderId="0" xfId="0" applyFont="1" applyFill="1"/>
    <xf numFmtId="0" fontId="0" fillId="7" borderId="0" xfId="0" applyFill="1"/>
    <xf numFmtId="0" fontId="1" fillId="6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5" fillId="3" borderId="0" xfId="0" applyFont="1" applyFill="1"/>
    <xf numFmtId="0" fontId="0" fillId="4" borderId="0" xfId="0" applyFill="1"/>
    <xf numFmtId="0" fontId="4" fillId="4" borderId="0" xfId="0" applyFont="1" applyFill="1"/>
    <xf numFmtId="0" fontId="4" fillId="3" borderId="0" xfId="0" applyFont="1" applyFill="1"/>
    <xf numFmtId="0" fontId="6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11" borderId="0" xfId="0" applyFont="1" applyFill="1" applyAlignment="1">
      <alignment horizontal="center"/>
    </xf>
    <xf numFmtId="0" fontId="7" fillId="11" borderId="0" xfId="0" applyFont="1" applyFill="1" applyAlignment="1">
      <alignment horizontal="center" wrapText="1"/>
    </xf>
    <xf numFmtId="0" fontId="4" fillId="11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" fontId="4" fillId="11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4" fillId="12" borderId="0" xfId="0" applyNumberFormat="1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4" fillId="13" borderId="0" xfId="0" applyNumberFormat="1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3"/>
  <sheetViews>
    <sheetView topLeftCell="A414" workbookViewId="0">
      <selection activeCell="A414" sqref="A1:E1048576"/>
    </sheetView>
  </sheetViews>
  <sheetFormatPr defaultRowHeight="14.4" x14ac:dyDescent="0.3"/>
  <cols>
    <col min="1" max="1" width="1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3">
      <c r="A3" t="s">
        <v>259</v>
      </c>
      <c r="B3" t="s">
        <v>74</v>
      </c>
      <c r="C3">
        <v>28</v>
      </c>
      <c r="D3" t="s">
        <v>71</v>
      </c>
      <c r="E3" t="s">
        <v>72</v>
      </c>
      <c r="F3">
        <v>9</v>
      </c>
    </row>
    <row r="4" spans="1:6" x14ac:dyDescent="0.3">
      <c r="A4" t="s">
        <v>554</v>
      </c>
      <c r="B4" t="s">
        <v>178</v>
      </c>
      <c r="C4">
        <v>31</v>
      </c>
      <c r="D4" t="s">
        <v>71</v>
      </c>
      <c r="E4" t="s">
        <v>72</v>
      </c>
      <c r="F4">
        <v>1</v>
      </c>
    </row>
    <row r="5" spans="1:6" x14ac:dyDescent="0.3">
      <c r="A5" t="s">
        <v>89</v>
      </c>
      <c r="B5" t="s">
        <v>19</v>
      </c>
      <c r="C5">
        <v>31</v>
      </c>
      <c r="D5" t="s">
        <v>71</v>
      </c>
      <c r="E5" t="s">
        <v>72</v>
      </c>
      <c r="F5">
        <v>28</v>
      </c>
    </row>
    <row r="6" spans="1:6" x14ac:dyDescent="0.3">
      <c r="A6" t="s">
        <v>176</v>
      </c>
      <c r="B6" t="s">
        <v>104</v>
      </c>
      <c r="C6">
        <v>25</v>
      </c>
      <c r="D6" t="s">
        <v>71</v>
      </c>
      <c r="E6" t="s">
        <v>72</v>
      </c>
      <c r="F6">
        <v>14</v>
      </c>
    </row>
    <row r="7" spans="1:6" x14ac:dyDescent="0.3">
      <c r="A7" t="s">
        <v>97</v>
      </c>
      <c r="B7" t="s">
        <v>39</v>
      </c>
      <c r="C7">
        <v>26</v>
      </c>
      <c r="D7" t="s">
        <v>71</v>
      </c>
      <c r="E7" t="s">
        <v>72</v>
      </c>
      <c r="F7">
        <v>26</v>
      </c>
    </row>
    <row r="8" spans="1:6" x14ac:dyDescent="0.3">
      <c r="A8" t="s">
        <v>549</v>
      </c>
      <c r="B8" t="s">
        <v>31</v>
      </c>
      <c r="C8">
        <v>27</v>
      </c>
      <c r="D8" t="s">
        <v>71</v>
      </c>
      <c r="E8" t="s">
        <v>72</v>
      </c>
      <c r="F8">
        <v>1</v>
      </c>
    </row>
    <row r="9" spans="1:6" x14ac:dyDescent="0.3">
      <c r="A9" t="s">
        <v>555</v>
      </c>
      <c r="B9" t="s">
        <v>14</v>
      </c>
      <c r="C9">
        <v>30</v>
      </c>
      <c r="D9" t="s">
        <v>71</v>
      </c>
      <c r="E9" t="s">
        <v>72</v>
      </c>
      <c r="F9">
        <v>1</v>
      </c>
    </row>
    <row r="10" spans="1:6" x14ac:dyDescent="0.3">
      <c r="A10" t="s">
        <v>546</v>
      </c>
      <c r="B10" t="s">
        <v>115</v>
      </c>
      <c r="C10">
        <v>25</v>
      </c>
      <c r="D10" t="s">
        <v>71</v>
      </c>
      <c r="E10" t="s">
        <v>72</v>
      </c>
      <c r="F10">
        <v>1</v>
      </c>
    </row>
    <row r="11" spans="1:6" x14ac:dyDescent="0.3">
      <c r="A11" t="s">
        <v>464</v>
      </c>
      <c r="B11" t="s">
        <v>115</v>
      </c>
      <c r="C11">
        <v>22</v>
      </c>
      <c r="D11" t="s">
        <v>71</v>
      </c>
      <c r="E11" t="s">
        <v>72</v>
      </c>
      <c r="F11">
        <v>3</v>
      </c>
    </row>
    <row r="12" spans="1:6" x14ac:dyDescent="0.3">
      <c r="A12" t="s">
        <v>112</v>
      </c>
      <c r="B12" t="s">
        <v>31</v>
      </c>
      <c r="C12">
        <v>36</v>
      </c>
      <c r="D12" t="s">
        <v>71</v>
      </c>
      <c r="E12" t="s">
        <v>72</v>
      </c>
      <c r="F12">
        <v>23</v>
      </c>
    </row>
    <row r="13" spans="1:6" x14ac:dyDescent="0.3">
      <c r="A13" t="s">
        <v>542</v>
      </c>
      <c r="B13" t="s">
        <v>11</v>
      </c>
      <c r="C13">
        <v>19</v>
      </c>
      <c r="D13" t="s">
        <v>71</v>
      </c>
      <c r="E13" t="s">
        <v>72</v>
      </c>
      <c r="F13">
        <v>1</v>
      </c>
    </row>
    <row r="14" spans="1:6" x14ac:dyDescent="0.3">
      <c r="A14" t="s">
        <v>436</v>
      </c>
      <c r="B14" t="s">
        <v>157</v>
      </c>
      <c r="C14">
        <v>23</v>
      </c>
      <c r="D14" t="s">
        <v>71</v>
      </c>
      <c r="E14" t="s">
        <v>72</v>
      </c>
      <c r="F14">
        <v>4</v>
      </c>
    </row>
    <row r="15" spans="1:6" x14ac:dyDescent="0.3">
      <c r="A15" t="s">
        <v>560</v>
      </c>
      <c r="B15" t="s">
        <v>7</v>
      </c>
      <c r="C15">
        <v>33</v>
      </c>
      <c r="D15" t="s">
        <v>71</v>
      </c>
      <c r="E15" t="s">
        <v>72</v>
      </c>
      <c r="F15">
        <v>1</v>
      </c>
    </row>
    <row r="16" spans="1:6" x14ac:dyDescent="0.3">
      <c r="A16" t="s">
        <v>408</v>
      </c>
      <c r="B16" t="s">
        <v>29</v>
      </c>
      <c r="C16">
        <v>29</v>
      </c>
      <c r="D16" t="s">
        <v>71</v>
      </c>
      <c r="E16" t="s">
        <v>72</v>
      </c>
      <c r="F16">
        <v>5</v>
      </c>
    </row>
    <row r="17" spans="1:6" x14ac:dyDescent="0.3">
      <c r="A17" t="s">
        <v>192</v>
      </c>
      <c r="B17" t="s">
        <v>178</v>
      </c>
      <c r="C17">
        <v>31</v>
      </c>
      <c r="D17" t="s">
        <v>71</v>
      </c>
      <c r="E17" t="s">
        <v>72</v>
      </c>
      <c r="F17">
        <v>13</v>
      </c>
    </row>
    <row r="18" spans="1:6" x14ac:dyDescent="0.3">
      <c r="A18" t="s">
        <v>561</v>
      </c>
      <c r="B18" t="s">
        <v>11</v>
      </c>
      <c r="C18">
        <v>31</v>
      </c>
      <c r="D18" t="s">
        <v>71</v>
      </c>
      <c r="E18" t="s">
        <v>72</v>
      </c>
      <c r="F18">
        <v>1</v>
      </c>
    </row>
    <row r="19" spans="1:6" x14ac:dyDescent="0.3">
      <c r="A19" t="s">
        <v>545</v>
      </c>
      <c r="B19" t="s">
        <v>94</v>
      </c>
      <c r="C19">
        <v>34</v>
      </c>
      <c r="D19" t="s">
        <v>71</v>
      </c>
      <c r="E19" t="s">
        <v>72</v>
      </c>
      <c r="F19">
        <v>1</v>
      </c>
    </row>
    <row r="20" spans="1:6" x14ac:dyDescent="0.3">
      <c r="A20" t="s">
        <v>533</v>
      </c>
      <c r="B20" t="s">
        <v>33</v>
      </c>
      <c r="C20">
        <v>19</v>
      </c>
      <c r="D20" t="s">
        <v>71</v>
      </c>
      <c r="E20" t="s">
        <v>72</v>
      </c>
      <c r="F20">
        <v>1</v>
      </c>
    </row>
    <row r="21" spans="1:6" x14ac:dyDescent="0.3">
      <c r="A21" t="s">
        <v>564</v>
      </c>
      <c r="B21" t="s">
        <v>31</v>
      </c>
      <c r="C21">
        <v>31</v>
      </c>
      <c r="D21" t="s">
        <v>71</v>
      </c>
      <c r="E21" t="s">
        <v>72</v>
      </c>
      <c r="F21">
        <v>1</v>
      </c>
    </row>
    <row r="22" spans="1:6" x14ac:dyDescent="0.3">
      <c r="A22" t="s">
        <v>536</v>
      </c>
      <c r="B22" t="s">
        <v>157</v>
      </c>
      <c r="C22">
        <v>22</v>
      </c>
      <c r="D22" t="s">
        <v>71</v>
      </c>
      <c r="E22" t="s">
        <v>72</v>
      </c>
      <c r="F22">
        <v>1</v>
      </c>
    </row>
    <row r="23" spans="1:6" x14ac:dyDescent="0.3">
      <c r="A23" t="s">
        <v>102</v>
      </c>
      <c r="B23" t="s">
        <v>25</v>
      </c>
      <c r="C23">
        <v>31</v>
      </c>
      <c r="D23" t="s">
        <v>71</v>
      </c>
      <c r="E23" t="s">
        <v>72</v>
      </c>
      <c r="F23">
        <v>25</v>
      </c>
    </row>
    <row r="24" spans="1:6" x14ac:dyDescent="0.3">
      <c r="A24" t="s">
        <v>162</v>
      </c>
      <c r="B24" t="s">
        <v>55</v>
      </c>
      <c r="C24">
        <v>25</v>
      </c>
      <c r="D24" t="s">
        <v>71</v>
      </c>
      <c r="E24" t="s">
        <v>72</v>
      </c>
      <c r="F24">
        <v>15</v>
      </c>
    </row>
    <row r="25" spans="1:6" x14ac:dyDescent="0.3">
      <c r="A25" t="s">
        <v>76</v>
      </c>
      <c r="B25" t="s">
        <v>7</v>
      </c>
      <c r="C25">
        <v>28</v>
      </c>
      <c r="D25" t="s">
        <v>71</v>
      </c>
      <c r="E25" t="s">
        <v>72</v>
      </c>
      <c r="F25">
        <v>32</v>
      </c>
    </row>
    <row r="26" spans="1:6" x14ac:dyDescent="0.3">
      <c r="A26" t="s">
        <v>537</v>
      </c>
      <c r="B26" t="s">
        <v>64</v>
      </c>
      <c r="C26">
        <v>20</v>
      </c>
      <c r="D26" t="s">
        <v>71</v>
      </c>
      <c r="E26" t="s">
        <v>72</v>
      </c>
      <c r="F26">
        <v>1</v>
      </c>
    </row>
    <row r="27" spans="1:6" x14ac:dyDescent="0.3">
      <c r="A27" t="s">
        <v>113</v>
      </c>
      <c r="B27" t="s">
        <v>14</v>
      </c>
      <c r="C27">
        <v>29</v>
      </c>
      <c r="D27" t="s">
        <v>71</v>
      </c>
      <c r="E27" t="s">
        <v>72</v>
      </c>
      <c r="F27">
        <v>23</v>
      </c>
    </row>
    <row r="28" spans="1:6" x14ac:dyDescent="0.3">
      <c r="A28" t="s">
        <v>409</v>
      </c>
      <c r="B28" t="s">
        <v>14</v>
      </c>
      <c r="C28">
        <v>29</v>
      </c>
      <c r="D28" t="s">
        <v>71</v>
      </c>
      <c r="E28" t="s">
        <v>72</v>
      </c>
      <c r="F28">
        <v>5</v>
      </c>
    </row>
    <row r="29" spans="1:6" x14ac:dyDescent="0.3">
      <c r="A29" t="s">
        <v>552</v>
      </c>
      <c r="B29" t="s">
        <v>94</v>
      </c>
      <c r="C29">
        <v>30</v>
      </c>
      <c r="D29" t="s">
        <v>71</v>
      </c>
      <c r="E29" t="s">
        <v>72</v>
      </c>
      <c r="F29">
        <v>1</v>
      </c>
    </row>
    <row r="30" spans="1:6" x14ac:dyDescent="0.3">
      <c r="A30" t="s">
        <v>539</v>
      </c>
      <c r="B30" t="s">
        <v>55</v>
      </c>
      <c r="C30">
        <v>21</v>
      </c>
      <c r="D30" t="s">
        <v>71</v>
      </c>
      <c r="E30" t="s">
        <v>72</v>
      </c>
      <c r="F30">
        <v>1</v>
      </c>
    </row>
    <row r="31" spans="1:6" x14ac:dyDescent="0.3">
      <c r="A31" t="s">
        <v>283</v>
      </c>
      <c r="B31" t="s">
        <v>45</v>
      </c>
      <c r="C31">
        <v>28</v>
      </c>
      <c r="D31" t="s">
        <v>71</v>
      </c>
      <c r="E31" t="s">
        <v>72</v>
      </c>
      <c r="F31">
        <v>8</v>
      </c>
    </row>
    <row r="32" spans="1:6" x14ac:dyDescent="0.3">
      <c r="A32" t="s">
        <v>163</v>
      </c>
      <c r="B32" t="s">
        <v>42</v>
      </c>
      <c r="C32">
        <v>27</v>
      </c>
      <c r="D32" t="s">
        <v>71</v>
      </c>
      <c r="E32" t="s">
        <v>72</v>
      </c>
      <c r="F32">
        <v>15</v>
      </c>
    </row>
    <row r="33" spans="1:6" x14ac:dyDescent="0.3">
      <c r="A33" t="s">
        <v>562</v>
      </c>
      <c r="B33" t="s">
        <v>42</v>
      </c>
      <c r="C33">
        <v>41</v>
      </c>
      <c r="D33" t="s">
        <v>71</v>
      </c>
      <c r="E33" t="s">
        <v>72</v>
      </c>
      <c r="F33">
        <v>1</v>
      </c>
    </row>
    <row r="34" spans="1:6" x14ac:dyDescent="0.3">
      <c r="A34" t="s">
        <v>551</v>
      </c>
      <c r="B34" t="s">
        <v>64</v>
      </c>
      <c r="C34">
        <v>34</v>
      </c>
      <c r="D34" t="s">
        <v>71</v>
      </c>
      <c r="E34" t="s">
        <v>72</v>
      </c>
      <c r="F34">
        <v>1</v>
      </c>
    </row>
    <row r="35" spans="1:6" x14ac:dyDescent="0.3">
      <c r="A35" t="s">
        <v>437</v>
      </c>
      <c r="B35" t="s">
        <v>157</v>
      </c>
      <c r="C35">
        <v>22</v>
      </c>
      <c r="D35" t="s">
        <v>71</v>
      </c>
      <c r="E35" t="s">
        <v>72</v>
      </c>
      <c r="F35">
        <v>4</v>
      </c>
    </row>
    <row r="36" spans="1:6" x14ac:dyDescent="0.3">
      <c r="A36" t="s">
        <v>530</v>
      </c>
      <c r="B36" t="s">
        <v>178</v>
      </c>
      <c r="C36">
        <v>18</v>
      </c>
      <c r="D36" t="s">
        <v>71</v>
      </c>
      <c r="E36" t="s">
        <v>72</v>
      </c>
      <c r="F36">
        <v>1</v>
      </c>
    </row>
    <row r="37" spans="1:6" x14ac:dyDescent="0.3">
      <c r="A37" t="s">
        <v>466</v>
      </c>
      <c r="B37" t="s">
        <v>29</v>
      </c>
      <c r="C37">
        <v>34</v>
      </c>
      <c r="D37" t="s">
        <v>71</v>
      </c>
      <c r="E37" t="s">
        <v>72</v>
      </c>
      <c r="F37">
        <v>3</v>
      </c>
    </row>
    <row r="38" spans="1:6" x14ac:dyDescent="0.3">
      <c r="A38" t="s">
        <v>541</v>
      </c>
      <c r="B38" t="s">
        <v>33</v>
      </c>
      <c r="C38">
        <v>19</v>
      </c>
      <c r="D38" t="s">
        <v>71</v>
      </c>
      <c r="E38" t="s">
        <v>72</v>
      </c>
      <c r="F38">
        <v>1</v>
      </c>
    </row>
    <row r="39" spans="1:6" x14ac:dyDescent="0.3">
      <c r="A39" t="s">
        <v>550</v>
      </c>
      <c r="B39" t="s">
        <v>42</v>
      </c>
      <c r="C39">
        <v>23</v>
      </c>
      <c r="D39" t="s">
        <v>71</v>
      </c>
      <c r="E39" t="s">
        <v>72</v>
      </c>
      <c r="F39">
        <v>1</v>
      </c>
    </row>
    <row r="40" spans="1:6" x14ac:dyDescent="0.3">
      <c r="A40" t="s">
        <v>559</v>
      </c>
      <c r="B40" t="s">
        <v>29</v>
      </c>
      <c r="C40">
        <v>36</v>
      </c>
      <c r="D40" t="s">
        <v>71</v>
      </c>
      <c r="E40" t="s">
        <v>72</v>
      </c>
      <c r="F40">
        <v>1</v>
      </c>
    </row>
    <row r="41" spans="1:6" x14ac:dyDescent="0.3">
      <c r="A41" t="s">
        <v>529</v>
      </c>
      <c r="B41" t="s">
        <v>157</v>
      </c>
      <c r="C41">
        <v>35</v>
      </c>
      <c r="D41" t="s">
        <v>71</v>
      </c>
      <c r="E41" t="s">
        <v>72</v>
      </c>
      <c r="F41">
        <v>1</v>
      </c>
    </row>
    <row r="42" spans="1:6" x14ac:dyDescent="0.3">
      <c r="A42" t="s">
        <v>544</v>
      </c>
      <c r="B42" t="s">
        <v>142</v>
      </c>
      <c r="C42">
        <v>25</v>
      </c>
      <c r="D42" t="s">
        <v>71</v>
      </c>
      <c r="E42" t="s">
        <v>72</v>
      </c>
      <c r="F42">
        <v>1</v>
      </c>
    </row>
    <row r="43" spans="1:6" x14ac:dyDescent="0.3">
      <c r="A43" t="s">
        <v>534</v>
      </c>
      <c r="B43" t="s">
        <v>94</v>
      </c>
      <c r="C43">
        <v>26</v>
      </c>
      <c r="D43" t="s">
        <v>71</v>
      </c>
      <c r="E43" t="s">
        <v>72</v>
      </c>
      <c r="F43">
        <v>1</v>
      </c>
    </row>
    <row r="44" spans="1:6" x14ac:dyDescent="0.3">
      <c r="A44" t="s">
        <v>465</v>
      </c>
      <c r="B44" t="s">
        <v>7</v>
      </c>
      <c r="C44">
        <v>32</v>
      </c>
      <c r="D44" t="s">
        <v>71</v>
      </c>
      <c r="E44" t="s">
        <v>72</v>
      </c>
      <c r="F44">
        <v>3</v>
      </c>
    </row>
    <row r="45" spans="1:6" x14ac:dyDescent="0.3">
      <c r="A45" t="s">
        <v>566</v>
      </c>
      <c r="B45" t="s">
        <v>104</v>
      </c>
      <c r="C45">
        <v>30</v>
      </c>
      <c r="D45" t="s">
        <v>71</v>
      </c>
      <c r="E45" t="s">
        <v>72</v>
      </c>
      <c r="F45">
        <v>1</v>
      </c>
    </row>
    <row r="46" spans="1:6" x14ac:dyDescent="0.3">
      <c r="A46" t="s">
        <v>532</v>
      </c>
      <c r="B46" t="s">
        <v>55</v>
      </c>
      <c r="C46">
        <v>20</v>
      </c>
      <c r="D46" t="s">
        <v>71</v>
      </c>
      <c r="E46" t="s">
        <v>72</v>
      </c>
      <c r="F46">
        <v>1</v>
      </c>
    </row>
    <row r="47" spans="1:6" x14ac:dyDescent="0.3">
      <c r="A47" t="s">
        <v>553</v>
      </c>
      <c r="B47" t="s">
        <v>45</v>
      </c>
      <c r="C47">
        <v>25</v>
      </c>
      <c r="D47" t="s">
        <v>71</v>
      </c>
      <c r="E47" t="s">
        <v>72</v>
      </c>
      <c r="F47">
        <v>1</v>
      </c>
    </row>
    <row r="48" spans="1:6" x14ac:dyDescent="0.3">
      <c r="A48" t="s">
        <v>558</v>
      </c>
      <c r="B48" t="s">
        <v>45</v>
      </c>
      <c r="C48">
        <v>27</v>
      </c>
      <c r="D48" t="s">
        <v>71</v>
      </c>
      <c r="E48" t="s">
        <v>72</v>
      </c>
      <c r="F48">
        <v>1</v>
      </c>
    </row>
    <row r="49" spans="1:6" x14ac:dyDescent="0.3">
      <c r="A49" t="s">
        <v>547</v>
      </c>
      <c r="B49" t="s">
        <v>104</v>
      </c>
      <c r="C49">
        <v>29</v>
      </c>
      <c r="D49" t="s">
        <v>71</v>
      </c>
      <c r="E49" t="s">
        <v>72</v>
      </c>
      <c r="F49">
        <v>1</v>
      </c>
    </row>
    <row r="50" spans="1:6" x14ac:dyDescent="0.3">
      <c r="A50" t="s">
        <v>538</v>
      </c>
      <c r="B50" t="s">
        <v>64</v>
      </c>
      <c r="C50">
        <v>20</v>
      </c>
      <c r="D50" t="s">
        <v>71</v>
      </c>
      <c r="E50" t="s">
        <v>72</v>
      </c>
      <c r="F50">
        <v>1</v>
      </c>
    </row>
    <row r="51" spans="1:6" x14ac:dyDescent="0.3">
      <c r="A51" t="s">
        <v>139</v>
      </c>
      <c r="B51" t="s">
        <v>33</v>
      </c>
      <c r="C51">
        <v>35</v>
      </c>
      <c r="D51" t="s">
        <v>71</v>
      </c>
      <c r="E51" t="s">
        <v>72</v>
      </c>
      <c r="F51">
        <v>19</v>
      </c>
    </row>
    <row r="52" spans="1:6" x14ac:dyDescent="0.3">
      <c r="A52" t="s">
        <v>563</v>
      </c>
      <c r="B52" t="s">
        <v>74</v>
      </c>
      <c r="C52">
        <v>29</v>
      </c>
      <c r="D52" t="s">
        <v>71</v>
      </c>
      <c r="E52" t="s">
        <v>72</v>
      </c>
      <c r="F52">
        <v>1</v>
      </c>
    </row>
    <row r="53" spans="1:6" x14ac:dyDescent="0.3">
      <c r="A53" t="s">
        <v>565</v>
      </c>
      <c r="B53" t="s">
        <v>39</v>
      </c>
      <c r="C53">
        <v>34</v>
      </c>
      <c r="D53" t="s">
        <v>71</v>
      </c>
      <c r="E53" t="s">
        <v>72</v>
      </c>
      <c r="F53">
        <v>1</v>
      </c>
    </row>
    <row r="54" spans="1:6" x14ac:dyDescent="0.3">
      <c r="A54" t="s">
        <v>320</v>
      </c>
      <c r="B54" t="s">
        <v>94</v>
      </c>
      <c r="C54">
        <v>24</v>
      </c>
      <c r="D54" t="s">
        <v>71</v>
      </c>
      <c r="E54" t="s">
        <v>72</v>
      </c>
      <c r="F54">
        <v>7</v>
      </c>
    </row>
    <row r="55" spans="1:6" x14ac:dyDescent="0.3">
      <c r="A55" t="s">
        <v>548</v>
      </c>
      <c r="B55" t="s">
        <v>74</v>
      </c>
      <c r="C55">
        <v>25</v>
      </c>
      <c r="D55" t="s">
        <v>71</v>
      </c>
      <c r="E55" t="s">
        <v>72</v>
      </c>
      <c r="F55">
        <v>1</v>
      </c>
    </row>
    <row r="56" spans="1:6" x14ac:dyDescent="0.3">
      <c r="A56" t="s">
        <v>535</v>
      </c>
      <c r="B56" t="s">
        <v>142</v>
      </c>
      <c r="C56">
        <v>19</v>
      </c>
      <c r="D56" t="s">
        <v>71</v>
      </c>
      <c r="E56" t="s">
        <v>72</v>
      </c>
      <c r="F56">
        <v>1</v>
      </c>
    </row>
    <row r="57" spans="1:6" x14ac:dyDescent="0.3">
      <c r="A57" t="s">
        <v>70</v>
      </c>
      <c r="B57" t="s">
        <v>11</v>
      </c>
      <c r="C57">
        <v>27</v>
      </c>
      <c r="D57" t="s">
        <v>71</v>
      </c>
      <c r="E57" t="s">
        <v>72</v>
      </c>
      <c r="F57">
        <v>33</v>
      </c>
    </row>
    <row r="58" spans="1:6" x14ac:dyDescent="0.3">
      <c r="A58" t="s">
        <v>556</v>
      </c>
      <c r="B58" t="s">
        <v>25</v>
      </c>
      <c r="C58">
        <v>36</v>
      </c>
      <c r="D58" t="s">
        <v>71</v>
      </c>
      <c r="E58" t="s">
        <v>72</v>
      </c>
      <c r="F58">
        <v>1</v>
      </c>
    </row>
    <row r="59" spans="1:6" x14ac:dyDescent="0.3">
      <c r="A59" t="s">
        <v>366</v>
      </c>
      <c r="B59" t="s">
        <v>142</v>
      </c>
      <c r="C59">
        <v>28</v>
      </c>
      <c r="D59" t="s">
        <v>71</v>
      </c>
      <c r="E59" t="s">
        <v>72</v>
      </c>
      <c r="F59">
        <v>6</v>
      </c>
    </row>
    <row r="60" spans="1:6" x14ac:dyDescent="0.3">
      <c r="A60" t="s">
        <v>540</v>
      </c>
      <c r="B60" t="s">
        <v>19</v>
      </c>
      <c r="C60">
        <v>24</v>
      </c>
      <c r="D60" t="s">
        <v>71</v>
      </c>
      <c r="E60" t="s">
        <v>72</v>
      </c>
      <c r="F60">
        <v>1</v>
      </c>
    </row>
    <row r="61" spans="1:6" x14ac:dyDescent="0.3">
      <c r="A61" t="s">
        <v>543</v>
      </c>
      <c r="B61" t="s">
        <v>25</v>
      </c>
      <c r="C61">
        <v>21</v>
      </c>
      <c r="D61" t="s">
        <v>71</v>
      </c>
      <c r="E61" t="s">
        <v>72</v>
      </c>
      <c r="F61">
        <v>1</v>
      </c>
    </row>
    <row r="62" spans="1:6" x14ac:dyDescent="0.3">
      <c r="A62" t="s">
        <v>502</v>
      </c>
      <c r="B62" t="s">
        <v>45</v>
      </c>
      <c r="C62">
        <v>25</v>
      </c>
      <c r="D62" t="s">
        <v>71</v>
      </c>
      <c r="E62" t="s">
        <v>72</v>
      </c>
      <c r="F62">
        <v>2</v>
      </c>
    </row>
    <row r="63" spans="1:6" x14ac:dyDescent="0.3">
      <c r="A63" t="s">
        <v>90</v>
      </c>
      <c r="B63" t="s">
        <v>29</v>
      </c>
      <c r="C63">
        <v>30</v>
      </c>
      <c r="D63" t="s">
        <v>71</v>
      </c>
      <c r="E63" t="s">
        <v>72</v>
      </c>
      <c r="F63">
        <v>28</v>
      </c>
    </row>
    <row r="64" spans="1:6" x14ac:dyDescent="0.3">
      <c r="A64" t="s">
        <v>557</v>
      </c>
      <c r="B64" t="s">
        <v>19</v>
      </c>
      <c r="C64">
        <v>36</v>
      </c>
      <c r="D64" t="s">
        <v>71</v>
      </c>
      <c r="E64" t="s">
        <v>72</v>
      </c>
      <c r="F64">
        <v>1</v>
      </c>
    </row>
    <row r="65" spans="1:6" x14ac:dyDescent="0.3">
      <c r="A65" t="s">
        <v>531</v>
      </c>
      <c r="B65" t="s">
        <v>39</v>
      </c>
      <c r="C65">
        <v>23</v>
      </c>
      <c r="D65" t="s">
        <v>71</v>
      </c>
      <c r="E65" t="s">
        <v>72</v>
      </c>
      <c r="F65">
        <v>1</v>
      </c>
    </row>
    <row r="66" spans="1:6" x14ac:dyDescent="0.3">
      <c r="A66" t="s">
        <v>496</v>
      </c>
      <c r="B66" t="s">
        <v>42</v>
      </c>
      <c r="C66">
        <v>22</v>
      </c>
      <c r="D66" t="s">
        <v>16</v>
      </c>
      <c r="E66" t="s">
        <v>111</v>
      </c>
      <c r="F66">
        <v>2</v>
      </c>
    </row>
    <row r="67" spans="1:6" x14ac:dyDescent="0.3">
      <c r="A67" t="s">
        <v>277</v>
      </c>
      <c r="B67" t="s">
        <v>39</v>
      </c>
      <c r="C67">
        <v>18</v>
      </c>
      <c r="D67" t="s">
        <v>16</v>
      </c>
      <c r="E67" t="s">
        <v>171</v>
      </c>
      <c r="F67">
        <v>8</v>
      </c>
    </row>
    <row r="68" spans="1:6" x14ac:dyDescent="0.3">
      <c r="A68" t="s">
        <v>87</v>
      </c>
      <c r="B68" t="s">
        <v>7</v>
      </c>
      <c r="C68">
        <v>31</v>
      </c>
      <c r="D68" t="s">
        <v>16</v>
      </c>
      <c r="E68" t="s">
        <v>88</v>
      </c>
      <c r="F68">
        <v>28</v>
      </c>
    </row>
    <row r="69" spans="1:6" x14ac:dyDescent="0.3">
      <c r="A69" t="s">
        <v>422</v>
      </c>
      <c r="B69" t="s">
        <v>157</v>
      </c>
      <c r="C69">
        <v>31</v>
      </c>
      <c r="D69" t="s">
        <v>16</v>
      </c>
      <c r="E69" t="s">
        <v>88</v>
      </c>
      <c r="F69">
        <v>4</v>
      </c>
    </row>
    <row r="70" spans="1:6" x14ac:dyDescent="0.3">
      <c r="A70" t="s">
        <v>454</v>
      </c>
      <c r="B70" t="s">
        <v>33</v>
      </c>
      <c r="C70">
        <v>24</v>
      </c>
      <c r="D70" t="s">
        <v>16</v>
      </c>
      <c r="E70" t="s">
        <v>188</v>
      </c>
      <c r="F70">
        <v>3</v>
      </c>
    </row>
    <row r="71" spans="1:6" x14ac:dyDescent="0.3">
      <c r="A71" t="s">
        <v>526</v>
      </c>
      <c r="B71" t="s">
        <v>157</v>
      </c>
      <c r="C71">
        <v>21</v>
      </c>
      <c r="D71" t="s">
        <v>16</v>
      </c>
      <c r="E71" t="s">
        <v>88</v>
      </c>
      <c r="F71">
        <v>1</v>
      </c>
    </row>
    <row r="72" spans="1:6" x14ac:dyDescent="0.3">
      <c r="A72" t="s">
        <v>527</v>
      </c>
      <c r="B72" t="s">
        <v>142</v>
      </c>
      <c r="C72">
        <v>26</v>
      </c>
      <c r="D72" t="s">
        <v>16</v>
      </c>
      <c r="E72" t="s">
        <v>88</v>
      </c>
      <c r="F72">
        <v>1</v>
      </c>
    </row>
    <row r="73" spans="1:6" x14ac:dyDescent="0.3">
      <c r="A73" t="s">
        <v>424</v>
      </c>
      <c r="B73" t="s">
        <v>42</v>
      </c>
      <c r="C73">
        <v>21</v>
      </c>
      <c r="D73" t="s">
        <v>16</v>
      </c>
      <c r="E73" t="s">
        <v>188</v>
      </c>
      <c r="F73">
        <v>4</v>
      </c>
    </row>
    <row r="74" spans="1:6" x14ac:dyDescent="0.3">
      <c r="A74" t="s">
        <v>453</v>
      </c>
      <c r="B74" t="s">
        <v>104</v>
      </c>
      <c r="C74">
        <v>26</v>
      </c>
      <c r="D74" t="s">
        <v>16</v>
      </c>
      <c r="E74" t="s">
        <v>188</v>
      </c>
      <c r="F74">
        <v>3</v>
      </c>
    </row>
    <row r="75" spans="1:6" x14ac:dyDescent="0.3">
      <c r="A75" t="s">
        <v>485</v>
      </c>
      <c r="B75" t="s">
        <v>142</v>
      </c>
      <c r="C75">
        <v>20</v>
      </c>
      <c r="D75" t="s">
        <v>16</v>
      </c>
      <c r="E75" t="s">
        <v>131</v>
      </c>
      <c r="F75">
        <v>2</v>
      </c>
    </row>
    <row r="76" spans="1:6" x14ac:dyDescent="0.3">
      <c r="A76" t="s">
        <v>187</v>
      </c>
      <c r="B76" t="s">
        <v>25</v>
      </c>
      <c r="C76">
        <v>21</v>
      </c>
      <c r="D76" t="s">
        <v>16</v>
      </c>
      <c r="E76" t="s">
        <v>188</v>
      </c>
      <c r="F76">
        <v>13</v>
      </c>
    </row>
    <row r="77" spans="1:6" x14ac:dyDescent="0.3">
      <c r="A77" t="s">
        <v>118</v>
      </c>
      <c r="B77" t="s">
        <v>7</v>
      </c>
      <c r="C77">
        <v>27</v>
      </c>
      <c r="D77" t="s">
        <v>16</v>
      </c>
      <c r="E77" t="s">
        <v>88</v>
      </c>
      <c r="F77">
        <v>22</v>
      </c>
    </row>
    <row r="78" spans="1:6" x14ac:dyDescent="0.3">
      <c r="A78" t="s">
        <v>308</v>
      </c>
      <c r="B78" t="s">
        <v>94</v>
      </c>
      <c r="C78">
        <v>25</v>
      </c>
      <c r="D78" t="s">
        <v>16</v>
      </c>
      <c r="E78" t="s">
        <v>88</v>
      </c>
      <c r="F78">
        <v>7</v>
      </c>
    </row>
    <row r="79" spans="1:6" x14ac:dyDescent="0.3">
      <c r="A79" t="s">
        <v>279</v>
      </c>
      <c r="B79" t="s">
        <v>39</v>
      </c>
      <c r="C79">
        <v>26</v>
      </c>
      <c r="D79" t="s">
        <v>16</v>
      </c>
      <c r="E79" t="s">
        <v>131</v>
      </c>
      <c r="F79">
        <v>8</v>
      </c>
    </row>
    <row r="80" spans="1:6" x14ac:dyDescent="0.3">
      <c r="A80" t="s">
        <v>250</v>
      </c>
      <c r="B80" t="s">
        <v>39</v>
      </c>
      <c r="C80">
        <v>23</v>
      </c>
      <c r="D80" t="s">
        <v>16</v>
      </c>
      <c r="E80" t="s">
        <v>188</v>
      </c>
      <c r="F80">
        <v>9</v>
      </c>
    </row>
    <row r="81" spans="1:6" x14ac:dyDescent="0.3">
      <c r="A81" t="s">
        <v>399</v>
      </c>
      <c r="B81" t="s">
        <v>42</v>
      </c>
      <c r="C81">
        <v>23</v>
      </c>
      <c r="D81" t="s">
        <v>16</v>
      </c>
      <c r="E81" t="s">
        <v>400</v>
      </c>
      <c r="F81">
        <v>5</v>
      </c>
    </row>
    <row r="82" spans="1:6" x14ac:dyDescent="0.3">
      <c r="A82" t="s">
        <v>313</v>
      </c>
      <c r="B82" t="s">
        <v>14</v>
      </c>
      <c r="C82">
        <v>28</v>
      </c>
      <c r="D82" t="s">
        <v>16</v>
      </c>
      <c r="E82" t="s">
        <v>88</v>
      </c>
      <c r="F82">
        <v>7</v>
      </c>
    </row>
    <row r="83" spans="1:6" x14ac:dyDescent="0.3">
      <c r="A83" t="s">
        <v>463</v>
      </c>
      <c r="B83" t="s">
        <v>64</v>
      </c>
      <c r="C83">
        <v>34</v>
      </c>
      <c r="D83" t="s">
        <v>16</v>
      </c>
      <c r="E83" t="s">
        <v>171</v>
      </c>
      <c r="F83">
        <v>3</v>
      </c>
    </row>
    <row r="84" spans="1:6" x14ac:dyDescent="0.3">
      <c r="A84" t="s">
        <v>356</v>
      </c>
      <c r="B84" t="s">
        <v>142</v>
      </c>
      <c r="C84">
        <v>27</v>
      </c>
      <c r="D84" t="s">
        <v>16</v>
      </c>
      <c r="E84" t="s">
        <v>174</v>
      </c>
      <c r="F84">
        <v>6</v>
      </c>
    </row>
    <row r="85" spans="1:6" x14ac:dyDescent="0.3">
      <c r="A85" t="s">
        <v>144</v>
      </c>
      <c r="B85" t="s">
        <v>7</v>
      </c>
      <c r="C85">
        <v>26</v>
      </c>
      <c r="D85" t="s">
        <v>16</v>
      </c>
      <c r="E85" t="s">
        <v>88</v>
      </c>
      <c r="F85">
        <v>17</v>
      </c>
    </row>
    <row r="86" spans="1:6" x14ac:dyDescent="0.3">
      <c r="A86" t="s">
        <v>344</v>
      </c>
      <c r="B86" t="s">
        <v>157</v>
      </c>
      <c r="C86">
        <v>23</v>
      </c>
      <c r="D86" t="s">
        <v>16</v>
      </c>
      <c r="E86" t="s">
        <v>146</v>
      </c>
      <c r="F86">
        <v>6</v>
      </c>
    </row>
    <row r="87" spans="1:6" x14ac:dyDescent="0.3">
      <c r="A87" t="s">
        <v>100</v>
      </c>
      <c r="B87" t="s">
        <v>29</v>
      </c>
      <c r="C87">
        <v>29</v>
      </c>
      <c r="D87" t="s">
        <v>16</v>
      </c>
      <c r="E87" t="s">
        <v>88</v>
      </c>
      <c r="F87">
        <v>25</v>
      </c>
    </row>
    <row r="88" spans="1:6" x14ac:dyDescent="0.3">
      <c r="A88" t="s">
        <v>391</v>
      </c>
      <c r="B88" t="s">
        <v>115</v>
      </c>
      <c r="C88">
        <v>20</v>
      </c>
      <c r="D88" t="s">
        <v>16</v>
      </c>
      <c r="E88" t="s">
        <v>174</v>
      </c>
      <c r="F88">
        <v>5</v>
      </c>
    </row>
    <row r="89" spans="1:6" x14ac:dyDescent="0.3">
      <c r="A89" t="s">
        <v>281</v>
      </c>
      <c r="B89" t="s">
        <v>14</v>
      </c>
      <c r="C89">
        <v>27</v>
      </c>
      <c r="D89" t="s">
        <v>16</v>
      </c>
      <c r="E89" t="s">
        <v>88</v>
      </c>
      <c r="F89">
        <v>8</v>
      </c>
    </row>
    <row r="90" spans="1:6" x14ac:dyDescent="0.3">
      <c r="A90" t="s">
        <v>495</v>
      </c>
      <c r="B90" t="s">
        <v>29</v>
      </c>
      <c r="C90">
        <v>25</v>
      </c>
      <c r="D90" t="s">
        <v>16</v>
      </c>
      <c r="E90" t="s">
        <v>171</v>
      </c>
      <c r="F90">
        <v>2</v>
      </c>
    </row>
    <row r="91" spans="1:6" x14ac:dyDescent="0.3">
      <c r="A91" t="s">
        <v>389</v>
      </c>
      <c r="B91" t="s">
        <v>157</v>
      </c>
      <c r="C91">
        <v>22</v>
      </c>
      <c r="D91" t="s">
        <v>16</v>
      </c>
      <c r="E91" t="s">
        <v>88</v>
      </c>
      <c r="F91">
        <v>5</v>
      </c>
    </row>
    <row r="92" spans="1:6" x14ac:dyDescent="0.3">
      <c r="A92" t="s">
        <v>173</v>
      </c>
      <c r="B92" t="s">
        <v>29</v>
      </c>
      <c r="C92">
        <v>26</v>
      </c>
      <c r="D92" t="s">
        <v>16</v>
      </c>
      <c r="E92" t="s">
        <v>174</v>
      </c>
      <c r="F92">
        <v>14</v>
      </c>
    </row>
    <row r="93" spans="1:6" x14ac:dyDescent="0.3">
      <c r="A93" t="s">
        <v>350</v>
      </c>
      <c r="B93" t="s">
        <v>45</v>
      </c>
      <c r="C93">
        <v>28</v>
      </c>
      <c r="D93" t="s">
        <v>16</v>
      </c>
      <c r="E93" t="s">
        <v>146</v>
      </c>
      <c r="F93">
        <v>6</v>
      </c>
    </row>
    <row r="94" spans="1:6" x14ac:dyDescent="0.3">
      <c r="A94" t="s">
        <v>404</v>
      </c>
      <c r="B94" t="s">
        <v>142</v>
      </c>
      <c r="C94">
        <v>25</v>
      </c>
      <c r="D94" t="s">
        <v>16</v>
      </c>
      <c r="E94" t="s">
        <v>146</v>
      </c>
      <c r="F94">
        <v>5</v>
      </c>
    </row>
    <row r="95" spans="1:6" x14ac:dyDescent="0.3">
      <c r="A95" t="s">
        <v>494</v>
      </c>
      <c r="B95" t="s">
        <v>115</v>
      </c>
      <c r="C95">
        <v>23</v>
      </c>
      <c r="D95" t="s">
        <v>16</v>
      </c>
      <c r="E95" t="s">
        <v>188</v>
      </c>
      <c r="F95">
        <v>2</v>
      </c>
    </row>
    <row r="96" spans="1:6" x14ac:dyDescent="0.3">
      <c r="A96" t="s">
        <v>170</v>
      </c>
      <c r="B96" t="s">
        <v>7</v>
      </c>
      <c r="C96">
        <v>27</v>
      </c>
      <c r="D96" t="s">
        <v>16</v>
      </c>
      <c r="E96" t="s">
        <v>171</v>
      </c>
      <c r="F96">
        <v>14</v>
      </c>
    </row>
    <row r="97" spans="1:6" x14ac:dyDescent="0.3">
      <c r="A97" t="s">
        <v>460</v>
      </c>
      <c r="B97" t="s">
        <v>33</v>
      </c>
      <c r="C97">
        <v>28</v>
      </c>
      <c r="D97" t="s">
        <v>16</v>
      </c>
      <c r="E97" t="s">
        <v>88</v>
      </c>
      <c r="F97">
        <v>3</v>
      </c>
    </row>
    <row r="98" spans="1:6" x14ac:dyDescent="0.3">
      <c r="A98" t="s">
        <v>318</v>
      </c>
      <c r="B98" t="s">
        <v>29</v>
      </c>
      <c r="C98">
        <v>29</v>
      </c>
      <c r="D98" t="s">
        <v>16</v>
      </c>
      <c r="E98" t="s">
        <v>215</v>
      </c>
      <c r="F98">
        <v>7</v>
      </c>
    </row>
    <row r="99" spans="1:6" x14ac:dyDescent="0.3">
      <c r="A99" t="s">
        <v>189</v>
      </c>
      <c r="B99" t="s">
        <v>19</v>
      </c>
      <c r="C99">
        <v>27</v>
      </c>
      <c r="D99" t="s">
        <v>16</v>
      </c>
      <c r="E99" t="s">
        <v>111</v>
      </c>
      <c r="F99">
        <v>13</v>
      </c>
    </row>
    <row r="100" spans="1:6" x14ac:dyDescent="0.3">
      <c r="A100" t="s">
        <v>431</v>
      </c>
      <c r="B100" t="s">
        <v>157</v>
      </c>
      <c r="C100">
        <v>24</v>
      </c>
      <c r="D100" t="s">
        <v>16</v>
      </c>
      <c r="E100" t="s">
        <v>88</v>
      </c>
      <c r="F100">
        <v>4</v>
      </c>
    </row>
    <row r="101" spans="1:6" x14ac:dyDescent="0.3">
      <c r="A101" t="s">
        <v>254</v>
      </c>
      <c r="B101" t="s">
        <v>64</v>
      </c>
      <c r="C101">
        <v>27</v>
      </c>
      <c r="D101" t="s">
        <v>16</v>
      </c>
      <c r="E101" t="s">
        <v>88</v>
      </c>
      <c r="F101">
        <v>9</v>
      </c>
    </row>
    <row r="102" spans="1:6" x14ac:dyDescent="0.3">
      <c r="A102" t="s">
        <v>388</v>
      </c>
      <c r="B102" t="s">
        <v>64</v>
      </c>
      <c r="C102">
        <v>28</v>
      </c>
      <c r="D102" t="s">
        <v>16</v>
      </c>
      <c r="E102" t="s">
        <v>88</v>
      </c>
      <c r="F102">
        <v>5</v>
      </c>
    </row>
    <row r="103" spans="1:6" x14ac:dyDescent="0.3">
      <c r="A103" t="s">
        <v>354</v>
      </c>
      <c r="B103" t="s">
        <v>64</v>
      </c>
      <c r="C103">
        <v>21</v>
      </c>
      <c r="D103" t="s">
        <v>16</v>
      </c>
      <c r="E103" t="s">
        <v>88</v>
      </c>
      <c r="F103">
        <v>6</v>
      </c>
    </row>
    <row r="104" spans="1:6" x14ac:dyDescent="0.3">
      <c r="A104" t="s">
        <v>486</v>
      </c>
      <c r="B104" t="s">
        <v>157</v>
      </c>
      <c r="C104">
        <v>26</v>
      </c>
      <c r="D104" t="s">
        <v>16</v>
      </c>
      <c r="E104" t="s">
        <v>188</v>
      </c>
      <c r="F104">
        <v>2</v>
      </c>
    </row>
    <row r="105" spans="1:6" x14ac:dyDescent="0.3">
      <c r="A105" t="s">
        <v>361</v>
      </c>
      <c r="B105" t="s">
        <v>94</v>
      </c>
      <c r="C105">
        <v>27</v>
      </c>
      <c r="D105" t="s">
        <v>16</v>
      </c>
      <c r="E105" t="s">
        <v>131</v>
      </c>
      <c r="F105">
        <v>6</v>
      </c>
    </row>
    <row r="106" spans="1:6" x14ac:dyDescent="0.3">
      <c r="A106" t="s">
        <v>169</v>
      </c>
      <c r="B106" t="s">
        <v>19</v>
      </c>
      <c r="C106">
        <v>24</v>
      </c>
      <c r="D106" t="s">
        <v>16</v>
      </c>
      <c r="E106" t="s">
        <v>131</v>
      </c>
      <c r="F106">
        <v>14</v>
      </c>
    </row>
    <row r="107" spans="1:6" x14ac:dyDescent="0.3">
      <c r="A107" t="s">
        <v>499</v>
      </c>
      <c r="B107" t="s">
        <v>33</v>
      </c>
      <c r="C107">
        <v>38</v>
      </c>
      <c r="D107" t="s">
        <v>16</v>
      </c>
      <c r="E107" t="s">
        <v>131</v>
      </c>
      <c r="F107">
        <v>2</v>
      </c>
    </row>
    <row r="108" spans="1:6" x14ac:dyDescent="0.3">
      <c r="A108" t="s">
        <v>357</v>
      </c>
      <c r="B108" t="s">
        <v>25</v>
      </c>
      <c r="C108">
        <v>24</v>
      </c>
      <c r="D108" t="s">
        <v>16</v>
      </c>
      <c r="E108" t="s">
        <v>111</v>
      </c>
      <c r="F108">
        <v>6</v>
      </c>
    </row>
    <row r="109" spans="1:6" x14ac:dyDescent="0.3">
      <c r="A109" t="s">
        <v>365</v>
      </c>
      <c r="B109" t="s">
        <v>142</v>
      </c>
      <c r="C109">
        <v>27</v>
      </c>
      <c r="D109" t="s">
        <v>16</v>
      </c>
      <c r="E109" t="s">
        <v>88</v>
      </c>
      <c r="F109">
        <v>6</v>
      </c>
    </row>
    <row r="110" spans="1:6" x14ac:dyDescent="0.3">
      <c r="A110" t="s">
        <v>214</v>
      </c>
      <c r="B110" t="s">
        <v>115</v>
      </c>
      <c r="C110">
        <v>27</v>
      </c>
      <c r="D110" t="s">
        <v>16</v>
      </c>
      <c r="E110" t="s">
        <v>215</v>
      </c>
      <c r="F110">
        <v>11</v>
      </c>
    </row>
    <row r="111" spans="1:6" x14ac:dyDescent="0.3">
      <c r="A111" t="s">
        <v>130</v>
      </c>
      <c r="B111" t="s">
        <v>14</v>
      </c>
      <c r="C111">
        <v>33</v>
      </c>
      <c r="D111" t="s">
        <v>16</v>
      </c>
      <c r="E111" t="s">
        <v>131</v>
      </c>
      <c r="F111">
        <v>20</v>
      </c>
    </row>
    <row r="112" spans="1:6" x14ac:dyDescent="0.3">
      <c r="A112" t="s">
        <v>483</v>
      </c>
      <c r="B112" t="s">
        <v>25</v>
      </c>
      <c r="C112">
        <v>20</v>
      </c>
      <c r="D112" t="s">
        <v>16</v>
      </c>
      <c r="E112" t="s">
        <v>146</v>
      </c>
      <c r="F112">
        <v>2</v>
      </c>
    </row>
    <row r="113" spans="1:6" x14ac:dyDescent="0.3">
      <c r="A113" t="s">
        <v>15</v>
      </c>
      <c r="B113" t="s">
        <v>7</v>
      </c>
      <c r="C113">
        <v>29</v>
      </c>
      <c r="D113" t="s">
        <v>16</v>
      </c>
      <c r="E113" t="s">
        <v>17</v>
      </c>
      <c r="F113">
        <v>133</v>
      </c>
    </row>
    <row r="114" spans="1:6" x14ac:dyDescent="0.3">
      <c r="A114" t="s">
        <v>161</v>
      </c>
      <c r="B114" t="s">
        <v>31</v>
      </c>
      <c r="C114">
        <v>28</v>
      </c>
      <c r="D114" t="s">
        <v>16</v>
      </c>
      <c r="E114" t="s">
        <v>131</v>
      </c>
      <c r="F114">
        <v>15</v>
      </c>
    </row>
    <row r="115" spans="1:6" x14ac:dyDescent="0.3">
      <c r="A115" t="s">
        <v>216</v>
      </c>
      <c r="B115" t="s">
        <v>55</v>
      </c>
      <c r="C115">
        <v>28</v>
      </c>
      <c r="D115" t="s">
        <v>16</v>
      </c>
      <c r="E115" t="s">
        <v>88</v>
      </c>
      <c r="F115">
        <v>11</v>
      </c>
    </row>
    <row r="116" spans="1:6" x14ac:dyDescent="0.3">
      <c r="A116" t="s">
        <v>397</v>
      </c>
      <c r="B116" t="s">
        <v>45</v>
      </c>
      <c r="C116">
        <v>24</v>
      </c>
      <c r="D116" t="s">
        <v>16</v>
      </c>
      <c r="E116" t="s">
        <v>188</v>
      </c>
      <c r="F116">
        <v>5</v>
      </c>
    </row>
    <row r="117" spans="1:6" x14ac:dyDescent="0.3">
      <c r="A117" t="s">
        <v>175</v>
      </c>
      <c r="B117" t="s">
        <v>31</v>
      </c>
      <c r="C117">
        <v>24</v>
      </c>
      <c r="D117" t="s">
        <v>16</v>
      </c>
      <c r="E117" t="s">
        <v>88</v>
      </c>
      <c r="F117">
        <v>14</v>
      </c>
    </row>
    <row r="118" spans="1:6" x14ac:dyDescent="0.3">
      <c r="A118" t="s">
        <v>497</v>
      </c>
      <c r="B118" t="s">
        <v>42</v>
      </c>
      <c r="C118">
        <v>27</v>
      </c>
      <c r="D118" t="s">
        <v>16</v>
      </c>
      <c r="E118" t="s">
        <v>146</v>
      </c>
      <c r="F118">
        <v>2</v>
      </c>
    </row>
    <row r="119" spans="1:6" x14ac:dyDescent="0.3">
      <c r="A119" t="s">
        <v>403</v>
      </c>
      <c r="B119" t="s">
        <v>25</v>
      </c>
      <c r="C119">
        <v>28</v>
      </c>
      <c r="D119" t="s">
        <v>16</v>
      </c>
      <c r="E119" t="s">
        <v>188</v>
      </c>
      <c r="F119">
        <v>5</v>
      </c>
    </row>
    <row r="120" spans="1:6" x14ac:dyDescent="0.3">
      <c r="A120" t="s">
        <v>342</v>
      </c>
      <c r="B120" t="s">
        <v>14</v>
      </c>
      <c r="C120">
        <v>22</v>
      </c>
      <c r="D120" t="s">
        <v>16</v>
      </c>
      <c r="E120" t="s">
        <v>174</v>
      </c>
      <c r="F120">
        <v>6</v>
      </c>
    </row>
    <row r="121" spans="1:6" x14ac:dyDescent="0.3">
      <c r="A121" t="s">
        <v>347</v>
      </c>
      <c r="B121" t="s">
        <v>55</v>
      </c>
      <c r="C121">
        <v>23</v>
      </c>
      <c r="D121" t="s">
        <v>16</v>
      </c>
      <c r="E121" t="s">
        <v>131</v>
      </c>
      <c r="F121">
        <v>6</v>
      </c>
    </row>
    <row r="122" spans="1:6" x14ac:dyDescent="0.3">
      <c r="A122" t="s">
        <v>309</v>
      </c>
      <c r="B122" t="s">
        <v>64</v>
      </c>
      <c r="C122">
        <v>20</v>
      </c>
      <c r="D122" t="s">
        <v>16</v>
      </c>
      <c r="E122" t="s">
        <v>60</v>
      </c>
      <c r="F122">
        <v>7</v>
      </c>
    </row>
    <row r="123" spans="1:6" x14ac:dyDescent="0.3">
      <c r="A123" t="s">
        <v>484</v>
      </c>
      <c r="B123" t="s">
        <v>94</v>
      </c>
      <c r="C123">
        <v>26</v>
      </c>
      <c r="D123" t="s">
        <v>16</v>
      </c>
      <c r="E123" t="s">
        <v>171</v>
      </c>
      <c r="F123">
        <v>2</v>
      </c>
    </row>
    <row r="124" spans="1:6" x14ac:dyDescent="0.3">
      <c r="A124" t="s">
        <v>191</v>
      </c>
      <c r="B124" t="s">
        <v>25</v>
      </c>
      <c r="C124">
        <v>27</v>
      </c>
      <c r="D124" t="s">
        <v>16</v>
      </c>
      <c r="E124" t="s">
        <v>88</v>
      </c>
      <c r="F124">
        <v>13</v>
      </c>
    </row>
    <row r="125" spans="1:6" x14ac:dyDescent="0.3">
      <c r="A125" t="s">
        <v>319</v>
      </c>
      <c r="B125" t="s">
        <v>178</v>
      </c>
      <c r="C125">
        <v>26</v>
      </c>
      <c r="D125" t="s">
        <v>16</v>
      </c>
      <c r="E125" t="s">
        <v>188</v>
      </c>
      <c r="F125">
        <v>7</v>
      </c>
    </row>
    <row r="126" spans="1:6" x14ac:dyDescent="0.3">
      <c r="A126" t="s">
        <v>353</v>
      </c>
      <c r="B126" t="s">
        <v>178</v>
      </c>
      <c r="C126">
        <v>29</v>
      </c>
      <c r="D126" t="s">
        <v>16</v>
      </c>
      <c r="E126" t="s">
        <v>88</v>
      </c>
      <c r="F126">
        <v>6</v>
      </c>
    </row>
    <row r="127" spans="1:6" x14ac:dyDescent="0.3">
      <c r="A127" t="s">
        <v>398</v>
      </c>
      <c r="B127" t="s">
        <v>29</v>
      </c>
      <c r="C127">
        <v>28</v>
      </c>
      <c r="D127" t="s">
        <v>16</v>
      </c>
      <c r="E127" t="s">
        <v>88</v>
      </c>
      <c r="F127">
        <v>5</v>
      </c>
    </row>
    <row r="128" spans="1:6" x14ac:dyDescent="0.3">
      <c r="A128" t="s">
        <v>396</v>
      </c>
      <c r="B128" t="s">
        <v>11</v>
      </c>
      <c r="C128">
        <v>23</v>
      </c>
      <c r="D128" t="s">
        <v>16</v>
      </c>
      <c r="E128" t="s">
        <v>88</v>
      </c>
      <c r="F128">
        <v>5</v>
      </c>
    </row>
    <row r="129" spans="1:6" x14ac:dyDescent="0.3">
      <c r="A129" t="s">
        <v>155</v>
      </c>
      <c r="B129" t="s">
        <v>25</v>
      </c>
      <c r="C129">
        <v>26</v>
      </c>
      <c r="D129" t="s">
        <v>16</v>
      </c>
      <c r="E129" t="s">
        <v>88</v>
      </c>
      <c r="F129">
        <v>16</v>
      </c>
    </row>
    <row r="130" spans="1:6" x14ac:dyDescent="0.3">
      <c r="A130" t="s">
        <v>528</v>
      </c>
      <c r="B130" t="s">
        <v>19</v>
      </c>
      <c r="C130">
        <v>33</v>
      </c>
      <c r="D130" t="s">
        <v>16</v>
      </c>
      <c r="E130" t="s">
        <v>88</v>
      </c>
      <c r="F130">
        <v>1</v>
      </c>
    </row>
    <row r="131" spans="1:6" x14ac:dyDescent="0.3">
      <c r="A131" t="s">
        <v>520</v>
      </c>
      <c r="B131" t="s">
        <v>94</v>
      </c>
      <c r="C131">
        <v>18</v>
      </c>
      <c r="D131" t="s">
        <v>16</v>
      </c>
      <c r="E131" t="s">
        <v>146</v>
      </c>
      <c r="F131">
        <v>1</v>
      </c>
    </row>
    <row r="132" spans="1:6" x14ac:dyDescent="0.3">
      <c r="A132" t="s">
        <v>429</v>
      </c>
      <c r="B132" t="s">
        <v>94</v>
      </c>
      <c r="C132">
        <v>24</v>
      </c>
      <c r="D132" t="s">
        <v>16</v>
      </c>
      <c r="E132" t="s">
        <v>131</v>
      </c>
      <c r="F132">
        <v>4</v>
      </c>
    </row>
    <row r="133" spans="1:6" x14ac:dyDescent="0.3">
      <c r="A133" t="s">
        <v>386</v>
      </c>
      <c r="B133" t="s">
        <v>94</v>
      </c>
      <c r="C133">
        <v>23</v>
      </c>
      <c r="D133" t="s">
        <v>16</v>
      </c>
      <c r="E133" t="s">
        <v>88</v>
      </c>
      <c r="F133">
        <v>5</v>
      </c>
    </row>
    <row r="134" spans="1:6" x14ac:dyDescent="0.3">
      <c r="A134" t="s">
        <v>358</v>
      </c>
      <c r="B134" t="s">
        <v>94</v>
      </c>
      <c r="C134">
        <v>33</v>
      </c>
      <c r="D134" t="s">
        <v>16</v>
      </c>
      <c r="E134" t="s">
        <v>188</v>
      </c>
      <c r="F134">
        <v>6</v>
      </c>
    </row>
    <row r="135" spans="1:6" x14ac:dyDescent="0.3">
      <c r="A135" t="s">
        <v>275</v>
      </c>
      <c r="B135" t="s">
        <v>33</v>
      </c>
      <c r="C135">
        <v>27</v>
      </c>
      <c r="D135" t="s">
        <v>16</v>
      </c>
      <c r="E135" t="s">
        <v>146</v>
      </c>
      <c r="F135">
        <v>8</v>
      </c>
    </row>
    <row r="136" spans="1:6" x14ac:dyDescent="0.3">
      <c r="A136" t="s">
        <v>455</v>
      </c>
      <c r="B136" t="s">
        <v>33</v>
      </c>
      <c r="C136">
        <v>21</v>
      </c>
      <c r="D136" t="s">
        <v>16</v>
      </c>
      <c r="E136" t="s">
        <v>111</v>
      </c>
      <c r="F136">
        <v>3</v>
      </c>
    </row>
    <row r="137" spans="1:6" x14ac:dyDescent="0.3">
      <c r="A137" t="s">
        <v>190</v>
      </c>
      <c r="B137" t="s">
        <v>11</v>
      </c>
      <c r="C137">
        <v>31</v>
      </c>
      <c r="D137" t="s">
        <v>16</v>
      </c>
      <c r="E137" t="s">
        <v>88</v>
      </c>
      <c r="F137">
        <v>13</v>
      </c>
    </row>
    <row r="138" spans="1:6" x14ac:dyDescent="0.3">
      <c r="A138" t="s">
        <v>278</v>
      </c>
      <c r="B138" t="s">
        <v>39</v>
      </c>
      <c r="C138">
        <v>27</v>
      </c>
      <c r="D138" t="s">
        <v>16</v>
      </c>
      <c r="E138" t="s">
        <v>88</v>
      </c>
      <c r="F138">
        <v>8</v>
      </c>
    </row>
    <row r="139" spans="1:6" x14ac:dyDescent="0.3">
      <c r="A139" t="s">
        <v>316</v>
      </c>
      <c r="B139" t="s">
        <v>33</v>
      </c>
      <c r="C139">
        <v>26</v>
      </c>
      <c r="D139" t="s">
        <v>16</v>
      </c>
      <c r="E139" t="s">
        <v>131</v>
      </c>
      <c r="F139">
        <v>7</v>
      </c>
    </row>
    <row r="140" spans="1:6" x14ac:dyDescent="0.3">
      <c r="A140" t="s">
        <v>427</v>
      </c>
      <c r="B140" t="s">
        <v>104</v>
      </c>
      <c r="C140">
        <v>21</v>
      </c>
      <c r="D140" t="s">
        <v>16</v>
      </c>
      <c r="E140" t="s">
        <v>188</v>
      </c>
      <c r="F140">
        <v>4</v>
      </c>
    </row>
    <row r="141" spans="1:6" x14ac:dyDescent="0.3">
      <c r="A141" t="s">
        <v>232</v>
      </c>
      <c r="B141" t="s">
        <v>45</v>
      </c>
      <c r="C141">
        <v>26</v>
      </c>
      <c r="D141" t="s">
        <v>16</v>
      </c>
      <c r="E141" t="s">
        <v>88</v>
      </c>
      <c r="F141">
        <v>10</v>
      </c>
    </row>
    <row r="142" spans="1:6" x14ac:dyDescent="0.3">
      <c r="A142" t="s">
        <v>257</v>
      </c>
      <c r="B142" t="s">
        <v>64</v>
      </c>
      <c r="C142">
        <v>30</v>
      </c>
      <c r="D142" t="s">
        <v>16</v>
      </c>
      <c r="E142" t="s">
        <v>88</v>
      </c>
      <c r="F142">
        <v>9</v>
      </c>
    </row>
    <row r="143" spans="1:6" x14ac:dyDescent="0.3">
      <c r="A143" t="s">
        <v>491</v>
      </c>
      <c r="B143" t="s">
        <v>178</v>
      </c>
      <c r="C143">
        <v>26</v>
      </c>
      <c r="D143" t="s">
        <v>16</v>
      </c>
      <c r="E143" t="s">
        <v>88</v>
      </c>
      <c r="F143">
        <v>2</v>
      </c>
    </row>
    <row r="144" spans="1:6" x14ac:dyDescent="0.3">
      <c r="A144" t="s">
        <v>200</v>
      </c>
      <c r="B144" t="s">
        <v>31</v>
      </c>
      <c r="C144">
        <v>21</v>
      </c>
      <c r="D144" t="s">
        <v>16</v>
      </c>
      <c r="E144" t="s">
        <v>174</v>
      </c>
      <c r="F144">
        <v>12</v>
      </c>
    </row>
    <row r="145" spans="1:6" x14ac:dyDescent="0.3">
      <c r="A145" t="s">
        <v>426</v>
      </c>
      <c r="B145" t="s">
        <v>31</v>
      </c>
      <c r="C145">
        <v>26</v>
      </c>
      <c r="D145" t="s">
        <v>16</v>
      </c>
      <c r="E145" t="s">
        <v>131</v>
      </c>
      <c r="F145">
        <v>4</v>
      </c>
    </row>
    <row r="146" spans="1:6" x14ac:dyDescent="0.3">
      <c r="A146" t="s">
        <v>407</v>
      </c>
      <c r="B146" t="s">
        <v>42</v>
      </c>
      <c r="C146">
        <v>35</v>
      </c>
      <c r="D146" t="s">
        <v>16</v>
      </c>
      <c r="E146" t="s">
        <v>88</v>
      </c>
      <c r="F146">
        <v>5</v>
      </c>
    </row>
    <row r="147" spans="1:6" x14ac:dyDescent="0.3">
      <c r="A147" t="s">
        <v>199</v>
      </c>
      <c r="B147" t="s">
        <v>19</v>
      </c>
      <c r="C147">
        <v>23</v>
      </c>
      <c r="D147" t="s">
        <v>16</v>
      </c>
      <c r="E147" t="s">
        <v>188</v>
      </c>
      <c r="F147">
        <v>12</v>
      </c>
    </row>
    <row r="148" spans="1:6" x14ac:dyDescent="0.3">
      <c r="A148" t="s">
        <v>110</v>
      </c>
      <c r="B148" t="s">
        <v>29</v>
      </c>
      <c r="C148">
        <v>26</v>
      </c>
      <c r="D148" t="s">
        <v>16</v>
      </c>
      <c r="E148" t="s">
        <v>111</v>
      </c>
      <c r="F148">
        <v>23</v>
      </c>
    </row>
    <row r="149" spans="1:6" x14ac:dyDescent="0.3">
      <c r="A149" t="s">
        <v>359</v>
      </c>
      <c r="B149" t="s">
        <v>42</v>
      </c>
      <c r="C149">
        <v>32</v>
      </c>
      <c r="D149" t="s">
        <v>16</v>
      </c>
      <c r="E149" t="s">
        <v>188</v>
      </c>
      <c r="F149">
        <v>6</v>
      </c>
    </row>
    <row r="150" spans="1:6" x14ac:dyDescent="0.3">
      <c r="A150" t="s">
        <v>395</v>
      </c>
      <c r="B150" t="s">
        <v>29</v>
      </c>
      <c r="C150">
        <v>28</v>
      </c>
      <c r="D150" t="s">
        <v>16</v>
      </c>
      <c r="E150" t="s">
        <v>146</v>
      </c>
      <c r="F150">
        <v>5</v>
      </c>
    </row>
    <row r="151" spans="1:6" x14ac:dyDescent="0.3">
      <c r="A151" t="s">
        <v>310</v>
      </c>
      <c r="B151" t="s">
        <v>19</v>
      </c>
      <c r="C151">
        <v>31</v>
      </c>
      <c r="D151" t="s">
        <v>16</v>
      </c>
      <c r="E151" t="s">
        <v>88</v>
      </c>
      <c r="F151">
        <v>7</v>
      </c>
    </row>
    <row r="152" spans="1:6" x14ac:dyDescent="0.3">
      <c r="A152" t="s">
        <v>343</v>
      </c>
      <c r="B152" t="s">
        <v>104</v>
      </c>
      <c r="C152">
        <v>21</v>
      </c>
      <c r="D152" t="s">
        <v>16</v>
      </c>
      <c r="E152" t="s">
        <v>88</v>
      </c>
      <c r="F152">
        <v>6</v>
      </c>
    </row>
    <row r="153" spans="1:6" x14ac:dyDescent="0.3">
      <c r="A153" t="s">
        <v>364</v>
      </c>
      <c r="B153" t="s">
        <v>39</v>
      </c>
      <c r="C153">
        <v>33</v>
      </c>
      <c r="D153" t="s">
        <v>16</v>
      </c>
      <c r="E153" t="s">
        <v>146</v>
      </c>
      <c r="F153">
        <v>6</v>
      </c>
    </row>
    <row r="154" spans="1:6" x14ac:dyDescent="0.3">
      <c r="A154" t="s">
        <v>433</v>
      </c>
      <c r="B154" t="s">
        <v>39</v>
      </c>
      <c r="C154">
        <v>25</v>
      </c>
      <c r="D154" t="s">
        <v>16</v>
      </c>
      <c r="E154" t="s">
        <v>111</v>
      </c>
      <c r="F154">
        <v>4</v>
      </c>
    </row>
    <row r="155" spans="1:6" x14ac:dyDescent="0.3">
      <c r="A155" t="s">
        <v>392</v>
      </c>
      <c r="B155" t="s">
        <v>142</v>
      </c>
      <c r="C155">
        <v>20</v>
      </c>
      <c r="D155" t="s">
        <v>16</v>
      </c>
      <c r="E155" t="s">
        <v>111</v>
      </c>
      <c r="F155">
        <v>5</v>
      </c>
    </row>
    <row r="156" spans="1:6" x14ac:dyDescent="0.3">
      <c r="A156" t="s">
        <v>230</v>
      </c>
      <c r="B156" t="s">
        <v>11</v>
      </c>
      <c r="C156">
        <v>23</v>
      </c>
      <c r="D156" t="s">
        <v>16</v>
      </c>
      <c r="E156" t="s">
        <v>88</v>
      </c>
      <c r="F156">
        <v>10</v>
      </c>
    </row>
    <row r="157" spans="1:6" x14ac:dyDescent="0.3">
      <c r="A157" t="s">
        <v>233</v>
      </c>
      <c r="B157" t="s">
        <v>39</v>
      </c>
      <c r="C157">
        <v>24</v>
      </c>
      <c r="D157" t="s">
        <v>16</v>
      </c>
      <c r="E157" t="s">
        <v>111</v>
      </c>
      <c r="F157">
        <v>10</v>
      </c>
    </row>
    <row r="158" spans="1:6" x14ac:dyDescent="0.3">
      <c r="A158" t="s">
        <v>435</v>
      </c>
      <c r="B158" t="s">
        <v>55</v>
      </c>
      <c r="C158">
        <v>33</v>
      </c>
      <c r="D158" t="s">
        <v>16</v>
      </c>
      <c r="E158" t="s">
        <v>131</v>
      </c>
      <c r="F158">
        <v>4</v>
      </c>
    </row>
    <row r="159" spans="1:6" x14ac:dyDescent="0.3">
      <c r="A159" t="s">
        <v>352</v>
      </c>
      <c r="B159" t="s">
        <v>142</v>
      </c>
      <c r="C159">
        <v>23</v>
      </c>
      <c r="D159" t="s">
        <v>16</v>
      </c>
      <c r="E159" t="s">
        <v>88</v>
      </c>
      <c r="F159">
        <v>6</v>
      </c>
    </row>
    <row r="160" spans="1:6" x14ac:dyDescent="0.3">
      <c r="A160" t="s">
        <v>255</v>
      </c>
      <c r="B160" t="s">
        <v>29</v>
      </c>
      <c r="C160">
        <v>28</v>
      </c>
      <c r="D160" t="s">
        <v>16</v>
      </c>
      <c r="E160" t="s">
        <v>88</v>
      </c>
      <c r="F160">
        <v>9</v>
      </c>
    </row>
    <row r="161" spans="1:6" x14ac:dyDescent="0.3">
      <c r="A161" t="s">
        <v>101</v>
      </c>
      <c r="B161" t="s">
        <v>11</v>
      </c>
      <c r="C161">
        <v>30</v>
      </c>
      <c r="D161" t="s">
        <v>16</v>
      </c>
      <c r="E161" t="s">
        <v>88</v>
      </c>
      <c r="F161">
        <v>25</v>
      </c>
    </row>
    <row r="162" spans="1:6" x14ac:dyDescent="0.3">
      <c r="A162" t="s">
        <v>273</v>
      </c>
      <c r="B162" t="s">
        <v>142</v>
      </c>
      <c r="C162">
        <v>28</v>
      </c>
      <c r="D162" t="s">
        <v>16</v>
      </c>
      <c r="E162" t="s">
        <v>188</v>
      </c>
      <c r="F162">
        <v>8</v>
      </c>
    </row>
    <row r="163" spans="1:6" x14ac:dyDescent="0.3">
      <c r="A163" t="s">
        <v>311</v>
      </c>
      <c r="B163" t="s">
        <v>74</v>
      </c>
      <c r="C163">
        <v>24</v>
      </c>
      <c r="D163" t="s">
        <v>16</v>
      </c>
      <c r="E163" t="s">
        <v>88</v>
      </c>
      <c r="F163">
        <v>7</v>
      </c>
    </row>
    <row r="164" spans="1:6" x14ac:dyDescent="0.3">
      <c r="A164" t="s">
        <v>492</v>
      </c>
      <c r="B164" t="s">
        <v>14</v>
      </c>
      <c r="C164">
        <v>22</v>
      </c>
      <c r="D164" t="s">
        <v>16</v>
      </c>
      <c r="E164" t="s">
        <v>88</v>
      </c>
      <c r="F164">
        <v>2</v>
      </c>
    </row>
    <row r="165" spans="1:6" x14ac:dyDescent="0.3">
      <c r="A165" t="s">
        <v>459</v>
      </c>
      <c r="B165" t="s">
        <v>14</v>
      </c>
      <c r="C165">
        <v>24</v>
      </c>
      <c r="D165" t="s">
        <v>16</v>
      </c>
      <c r="E165" t="s">
        <v>88</v>
      </c>
      <c r="F165">
        <v>3</v>
      </c>
    </row>
    <row r="166" spans="1:6" x14ac:dyDescent="0.3">
      <c r="A166" t="s">
        <v>282</v>
      </c>
      <c r="B166" t="s">
        <v>74</v>
      </c>
      <c r="C166">
        <v>29</v>
      </c>
      <c r="D166" t="s">
        <v>16</v>
      </c>
      <c r="E166" t="s">
        <v>188</v>
      </c>
      <c r="F166">
        <v>8</v>
      </c>
    </row>
    <row r="167" spans="1:6" x14ac:dyDescent="0.3">
      <c r="A167" t="s">
        <v>237</v>
      </c>
      <c r="B167" t="s">
        <v>55</v>
      </c>
      <c r="C167">
        <v>34</v>
      </c>
      <c r="D167" t="s">
        <v>16</v>
      </c>
      <c r="E167" t="s">
        <v>174</v>
      </c>
      <c r="F167">
        <v>10</v>
      </c>
    </row>
    <row r="168" spans="1:6" x14ac:dyDescent="0.3">
      <c r="A168" t="s">
        <v>524</v>
      </c>
      <c r="B168" t="s">
        <v>74</v>
      </c>
      <c r="C168">
        <v>22</v>
      </c>
      <c r="D168" t="s">
        <v>16</v>
      </c>
      <c r="E168" t="s">
        <v>146</v>
      </c>
      <c r="F168">
        <v>1</v>
      </c>
    </row>
    <row r="169" spans="1:6" x14ac:dyDescent="0.3">
      <c r="A169" t="s">
        <v>498</v>
      </c>
      <c r="B169" t="s">
        <v>14</v>
      </c>
      <c r="C169">
        <v>31</v>
      </c>
      <c r="D169" t="s">
        <v>16</v>
      </c>
      <c r="E169" t="s">
        <v>174</v>
      </c>
      <c r="F169">
        <v>2</v>
      </c>
    </row>
    <row r="170" spans="1:6" x14ac:dyDescent="0.3">
      <c r="A170" t="s">
        <v>236</v>
      </c>
      <c r="B170" t="s">
        <v>104</v>
      </c>
      <c r="C170">
        <v>32</v>
      </c>
      <c r="D170" t="s">
        <v>16</v>
      </c>
      <c r="E170" t="s">
        <v>88</v>
      </c>
      <c r="F170">
        <v>10</v>
      </c>
    </row>
    <row r="171" spans="1:6" x14ac:dyDescent="0.3">
      <c r="A171" t="s">
        <v>202</v>
      </c>
      <c r="B171" t="s">
        <v>33</v>
      </c>
      <c r="C171">
        <v>26</v>
      </c>
      <c r="D171" t="s">
        <v>16</v>
      </c>
      <c r="E171" t="s">
        <v>188</v>
      </c>
      <c r="F171">
        <v>12</v>
      </c>
    </row>
    <row r="172" spans="1:6" x14ac:dyDescent="0.3">
      <c r="A172" t="s">
        <v>525</v>
      </c>
      <c r="B172" t="s">
        <v>45</v>
      </c>
      <c r="C172">
        <v>22</v>
      </c>
      <c r="D172" t="s">
        <v>16</v>
      </c>
      <c r="E172" t="s">
        <v>131</v>
      </c>
      <c r="F172">
        <v>1</v>
      </c>
    </row>
    <row r="173" spans="1:6" x14ac:dyDescent="0.3">
      <c r="A173" t="s">
        <v>387</v>
      </c>
      <c r="B173" t="s">
        <v>74</v>
      </c>
      <c r="C173">
        <v>23</v>
      </c>
      <c r="D173" t="s">
        <v>16</v>
      </c>
      <c r="E173" t="s">
        <v>188</v>
      </c>
      <c r="F173">
        <v>5</v>
      </c>
    </row>
    <row r="174" spans="1:6" x14ac:dyDescent="0.3">
      <c r="A174" t="s">
        <v>488</v>
      </c>
      <c r="B174" t="s">
        <v>42</v>
      </c>
      <c r="C174">
        <v>19</v>
      </c>
      <c r="D174" t="s">
        <v>16</v>
      </c>
      <c r="E174" t="s">
        <v>88</v>
      </c>
      <c r="F174">
        <v>2</v>
      </c>
    </row>
    <row r="175" spans="1:6" x14ac:dyDescent="0.3">
      <c r="A175" t="s">
        <v>59</v>
      </c>
      <c r="B175" t="s">
        <v>11</v>
      </c>
      <c r="C175">
        <v>28</v>
      </c>
      <c r="D175" t="s">
        <v>16</v>
      </c>
      <c r="E175" t="s">
        <v>60</v>
      </c>
      <c r="F175">
        <v>44</v>
      </c>
    </row>
    <row r="176" spans="1:6" x14ac:dyDescent="0.3">
      <c r="A176" t="s">
        <v>317</v>
      </c>
      <c r="B176" t="s">
        <v>157</v>
      </c>
      <c r="C176">
        <v>25</v>
      </c>
      <c r="D176" t="s">
        <v>16</v>
      </c>
      <c r="E176" t="s">
        <v>88</v>
      </c>
      <c r="F176">
        <v>7</v>
      </c>
    </row>
    <row r="177" spans="1:6" x14ac:dyDescent="0.3">
      <c r="A177" t="s">
        <v>351</v>
      </c>
      <c r="B177" t="s">
        <v>94</v>
      </c>
      <c r="C177">
        <v>23</v>
      </c>
      <c r="D177" t="s">
        <v>16</v>
      </c>
      <c r="E177" t="s">
        <v>88</v>
      </c>
      <c r="F177">
        <v>6</v>
      </c>
    </row>
    <row r="178" spans="1:6" x14ac:dyDescent="0.3">
      <c r="A178" t="s">
        <v>490</v>
      </c>
      <c r="B178" t="s">
        <v>178</v>
      </c>
      <c r="C178">
        <v>27</v>
      </c>
      <c r="D178" t="s">
        <v>16</v>
      </c>
      <c r="E178" t="s">
        <v>188</v>
      </c>
      <c r="F178">
        <v>2</v>
      </c>
    </row>
    <row r="179" spans="1:6" x14ac:dyDescent="0.3">
      <c r="A179" t="s">
        <v>489</v>
      </c>
      <c r="B179" t="s">
        <v>115</v>
      </c>
      <c r="C179">
        <v>24</v>
      </c>
      <c r="D179" t="s">
        <v>16</v>
      </c>
      <c r="E179" t="s">
        <v>88</v>
      </c>
      <c r="F179">
        <v>2</v>
      </c>
    </row>
    <row r="180" spans="1:6" x14ac:dyDescent="0.3">
      <c r="A180" t="s">
        <v>117</v>
      </c>
      <c r="B180" t="s">
        <v>11</v>
      </c>
      <c r="C180">
        <v>27</v>
      </c>
      <c r="D180" t="s">
        <v>16</v>
      </c>
      <c r="E180" t="s">
        <v>88</v>
      </c>
      <c r="F180">
        <v>22</v>
      </c>
    </row>
    <row r="181" spans="1:6" x14ac:dyDescent="0.3">
      <c r="A181" t="s">
        <v>213</v>
      </c>
      <c r="B181" t="s">
        <v>74</v>
      </c>
      <c r="C181">
        <v>22</v>
      </c>
      <c r="D181" t="s">
        <v>16</v>
      </c>
      <c r="E181" t="s">
        <v>131</v>
      </c>
      <c r="F181">
        <v>11</v>
      </c>
    </row>
    <row r="182" spans="1:6" x14ac:dyDescent="0.3">
      <c r="A182" t="s">
        <v>315</v>
      </c>
      <c r="B182" t="s">
        <v>104</v>
      </c>
      <c r="C182">
        <v>24</v>
      </c>
      <c r="D182" t="s">
        <v>16</v>
      </c>
      <c r="E182" t="s">
        <v>171</v>
      </c>
      <c r="F182">
        <v>7</v>
      </c>
    </row>
    <row r="183" spans="1:6" x14ac:dyDescent="0.3">
      <c r="A183" t="s">
        <v>274</v>
      </c>
      <c r="B183" t="s">
        <v>45</v>
      </c>
      <c r="C183">
        <v>22</v>
      </c>
      <c r="D183" t="s">
        <v>16</v>
      </c>
      <c r="E183" t="s">
        <v>188</v>
      </c>
      <c r="F183">
        <v>8</v>
      </c>
    </row>
    <row r="184" spans="1:6" x14ac:dyDescent="0.3">
      <c r="A184" t="s">
        <v>523</v>
      </c>
      <c r="B184" t="s">
        <v>45</v>
      </c>
      <c r="C184">
        <v>26</v>
      </c>
      <c r="D184" t="s">
        <v>16</v>
      </c>
      <c r="E184" t="s">
        <v>88</v>
      </c>
      <c r="F184">
        <v>1</v>
      </c>
    </row>
    <row r="185" spans="1:6" x14ac:dyDescent="0.3">
      <c r="A185" t="s">
        <v>314</v>
      </c>
      <c r="B185" t="s">
        <v>14</v>
      </c>
      <c r="C185">
        <v>29</v>
      </c>
      <c r="D185" t="s">
        <v>16</v>
      </c>
      <c r="E185" t="s">
        <v>171</v>
      </c>
      <c r="F185">
        <v>7</v>
      </c>
    </row>
    <row r="186" spans="1:6" x14ac:dyDescent="0.3">
      <c r="A186" t="s">
        <v>519</v>
      </c>
      <c r="B186" t="s">
        <v>157</v>
      </c>
      <c r="C186">
        <v>23</v>
      </c>
      <c r="D186" t="s">
        <v>16</v>
      </c>
      <c r="E186" t="s">
        <v>88</v>
      </c>
      <c r="F186">
        <v>1</v>
      </c>
    </row>
    <row r="187" spans="1:6" x14ac:dyDescent="0.3">
      <c r="A187" t="s">
        <v>129</v>
      </c>
      <c r="B187" t="s">
        <v>74</v>
      </c>
      <c r="C187">
        <v>27</v>
      </c>
      <c r="D187" t="s">
        <v>16</v>
      </c>
      <c r="E187" t="s">
        <v>88</v>
      </c>
      <c r="F187">
        <v>20</v>
      </c>
    </row>
    <row r="188" spans="1:6" x14ac:dyDescent="0.3">
      <c r="A188" t="s">
        <v>456</v>
      </c>
      <c r="B188" t="s">
        <v>74</v>
      </c>
      <c r="C188">
        <v>22</v>
      </c>
      <c r="D188" t="s">
        <v>16</v>
      </c>
      <c r="E188" t="s">
        <v>88</v>
      </c>
      <c r="F188">
        <v>3</v>
      </c>
    </row>
    <row r="189" spans="1:6" x14ac:dyDescent="0.3">
      <c r="A189" t="s">
        <v>355</v>
      </c>
      <c r="B189" t="s">
        <v>157</v>
      </c>
      <c r="C189">
        <v>25</v>
      </c>
      <c r="D189" t="s">
        <v>16</v>
      </c>
      <c r="E189" t="s">
        <v>131</v>
      </c>
      <c r="F189">
        <v>6</v>
      </c>
    </row>
    <row r="190" spans="1:6" x14ac:dyDescent="0.3">
      <c r="A190" t="s">
        <v>487</v>
      </c>
      <c r="B190" t="s">
        <v>157</v>
      </c>
      <c r="C190">
        <v>25</v>
      </c>
      <c r="D190" t="s">
        <v>16</v>
      </c>
      <c r="E190" t="s">
        <v>131</v>
      </c>
      <c r="F190">
        <v>2</v>
      </c>
    </row>
    <row r="191" spans="1:6" x14ac:dyDescent="0.3">
      <c r="A191" t="s">
        <v>457</v>
      </c>
      <c r="B191" t="s">
        <v>42</v>
      </c>
      <c r="C191">
        <v>18</v>
      </c>
      <c r="D191" t="s">
        <v>16</v>
      </c>
      <c r="E191" t="s">
        <v>88</v>
      </c>
      <c r="F191">
        <v>3</v>
      </c>
    </row>
    <row r="192" spans="1:6" x14ac:dyDescent="0.3">
      <c r="A192" t="s">
        <v>360</v>
      </c>
      <c r="B192" t="s">
        <v>31</v>
      </c>
      <c r="C192">
        <v>26</v>
      </c>
      <c r="D192" t="s">
        <v>16</v>
      </c>
      <c r="E192" t="s">
        <v>188</v>
      </c>
      <c r="F192">
        <v>6</v>
      </c>
    </row>
    <row r="193" spans="1:6" x14ac:dyDescent="0.3">
      <c r="A193" t="s">
        <v>500</v>
      </c>
      <c r="B193" t="s">
        <v>55</v>
      </c>
      <c r="C193">
        <v>33</v>
      </c>
      <c r="D193" t="s">
        <v>16</v>
      </c>
      <c r="E193" t="s">
        <v>111</v>
      </c>
      <c r="F193">
        <v>2</v>
      </c>
    </row>
    <row r="194" spans="1:6" x14ac:dyDescent="0.3">
      <c r="A194" t="s">
        <v>258</v>
      </c>
      <c r="B194" t="s">
        <v>7</v>
      </c>
      <c r="C194">
        <v>30</v>
      </c>
      <c r="D194" t="s">
        <v>16</v>
      </c>
      <c r="E194" t="s">
        <v>111</v>
      </c>
      <c r="F194">
        <v>9</v>
      </c>
    </row>
    <row r="195" spans="1:6" x14ac:dyDescent="0.3">
      <c r="A195" t="s">
        <v>106</v>
      </c>
      <c r="B195" t="s">
        <v>25</v>
      </c>
      <c r="C195">
        <v>25</v>
      </c>
      <c r="D195" t="s">
        <v>16</v>
      </c>
      <c r="E195" t="s">
        <v>88</v>
      </c>
      <c r="F195">
        <v>24</v>
      </c>
    </row>
    <row r="196" spans="1:6" x14ac:dyDescent="0.3">
      <c r="A196" t="s">
        <v>312</v>
      </c>
      <c r="B196" t="s">
        <v>64</v>
      </c>
      <c r="C196">
        <v>26</v>
      </c>
      <c r="D196" t="s">
        <v>16</v>
      </c>
      <c r="E196" t="s">
        <v>131</v>
      </c>
      <c r="F196">
        <v>7</v>
      </c>
    </row>
    <row r="197" spans="1:6" x14ac:dyDescent="0.3">
      <c r="A197" t="s">
        <v>280</v>
      </c>
      <c r="B197" t="s">
        <v>55</v>
      </c>
      <c r="C197">
        <v>30</v>
      </c>
      <c r="D197" t="s">
        <v>16</v>
      </c>
      <c r="E197" t="s">
        <v>188</v>
      </c>
      <c r="F197">
        <v>8</v>
      </c>
    </row>
    <row r="198" spans="1:6" x14ac:dyDescent="0.3">
      <c r="A198" t="s">
        <v>461</v>
      </c>
      <c r="B198" t="s">
        <v>55</v>
      </c>
      <c r="C198">
        <v>27</v>
      </c>
      <c r="D198" t="s">
        <v>16</v>
      </c>
      <c r="E198" t="s">
        <v>188</v>
      </c>
      <c r="F198">
        <v>3</v>
      </c>
    </row>
    <row r="199" spans="1:6" x14ac:dyDescent="0.3">
      <c r="A199" t="s">
        <v>522</v>
      </c>
      <c r="B199" t="s">
        <v>45</v>
      </c>
      <c r="C199">
        <v>23</v>
      </c>
      <c r="D199" t="s">
        <v>16</v>
      </c>
      <c r="E199" t="s">
        <v>188</v>
      </c>
      <c r="F199">
        <v>1</v>
      </c>
    </row>
    <row r="200" spans="1:6" x14ac:dyDescent="0.3">
      <c r="A200" t="s">
        <v>432</v>
      </c>
      <c r="B200" t="s">
        <v>31</v>
      </c>
      <c r="C200">
        <v>29</v>
      </c>
      <c r="D200" t="s">
        <v>16</v>
      </c>
      <c r="E200" t="s">
        <v>88</v>
      </c>
      <c r="F200">
        <v>4</v>
      </c>
    </row>
    <row r="201" spans="1:6" x14ac:dyDescent="0.3">
      <c r="A201" t="s">
        <v>394</v>
      </c>
      <c r="B201" t="s">
        <v>55</v>
      </c>
      <c r="C201">
        <v>23</v>
      </c>
      <c r="D201" t="s">
        <v>16</v>
      </c>
      <c r="E201" t="s">
        <v>88</v>
      </c>
      <c r="F201">
        <v>5</v>
      </c>
    </row>
    <row r="202" spans="1:6" x14ac:dyDescent="0.3">
      <c r="A202" t="s">
        <v>423</v>
      </c>
      <c r="B202" t="s">
        <v>74</v>
      </c>
      <c r="C202">
        <v>21</v>
      </c>
      <c r="D202" t="s">
        <v>16</v>
      </c>
      <c r="E202" t="s">
        <v>188</v>
      </c>
      <c r="F202">
        <v>4</v>
      </c>
    </row>
    <row r="203" spans="1:6" x14ac:dyDescent="0.3">
      <c r="A203" t="s">
        <v>154</v>
      </c>
      <c r="B203" t="s">
        <v>19</v>
      </c>
      <c r="C203">
        <v>21</v>
      </c>
      <c r="D203" t="s">
        <v>16</v>
      </c>
      <c r="E203" t="s">
        <v>88</v>
      </c>
      <c r="F203">
        <v>16</v>
      </c>
    </row>
    <row r="204" spans="1:6" x14ac:dyDescent="0.3">
      <c r="A204" t="s">
        <v>434</v>
      </c>
      <c r="B204" t="s">
        <v>31</v>
      </c>
      <c r="C204">
        <v>27</v>
      </c>
      <c r="D204" t="s">
        <v>16</v>
      </c>
      <c r="E204" t="s">
        <v>146</v>
      </c>
      <c r="F204">
        <v>4</v>
      </c>
    </row>
    <row r="205" spans="1:6" x14ac:dyDescent="0.3">
      <c r="A205" t="s">
        <v>276</v>
      </c>
      <c r="B205" t="s">
        <v>11</v>
      </c>
      <c r="C205">
        <v>23</v>
      </c>
      <c r="D205" t="s">
        <v>16</v>
      </c>
      <c r="E205" t="s">
        <v>215</v>
      </c>
      <c r="F205">
        <v>8</v>
      </c>
    </row>
    <row r="206" spans="1:6" x14ac:dyDescent="0.3">
      <c r="A206" t="s">
        <v>390</v>
      </c>
      <c r="B206" t="s">
        <v>104</v>
      </c>
      <c r="C206">
        <v>21</v>
      </c>
      <c r="D206" t="s">
        <v>16</v>
      </c>
      <c r="E206" t="s">
        <v>146</v>
      </c>
      <c r="F206">
        <v>5</v>
      </c>
    </row>
    <row r="207" spans="1:6" x14ac:dyDescent="0.3">
      <c r="A207" t="s">
        <v>205</v>
      </c>
      <c r="B207" t="s">
        <v>55</v>
      </c>
      <c r="C207">
        <v>31</v>
      </c>
      <c r="D207" t="s">
        <v>16</v>
      </c>
      <c r="E207" t="s">
        <v>88</v>
      </c>
      <c r="F207">
        <v>12</v>
      </c>
    </row>
    <row r="208" spans="1:6" x14ac:dyDescent="0.3">
      <c r="A208" t="s">
        <v>107</v>
      </c>
      <c r="B208" t="s">
        <v>14</v>
      </c>
      <c r="C208">
        <v>32</v>
      </c>
      <c r="D208" t="s">
        <v>16</v>
      </c>
      <c r="E208" t="s">
        <v>88</v>
      </c>
      <c r="F208">
        <v>24</v>
      </c>
    </row>
    <row r="209" spans="1:6" x14ac:dyDescent="0.3">
      <c r="A209" t="s">
        <v>501</v>
      </c>
      <c r="B209" t="s">
        <v>29</v>
      </c>
      <c r="C209">
        <v>32</v>
      </c>
      <c r="D209" t="s">
        <v>16</v>
      </c>
      <c r="E209" t="s">
        <v>88</v>
      </c>
      <c r="F209">
        <v>2</v>
      </c>
    </row>
    <row r="210" spans="1:6" x14ac:dyDescent="0.3">
      <c r="A210" t="s">
        <v>462</v>
      </c>
      <c r="B210" t="s">
        <v>74</v>
      </c>
      <c r="C210">
        <v>33</v>
      </c>
      <c r="D210" t="s">
        <v>16</v>
      </c>
      <c r="E210" t="s">
        <v>174</v>
      </c>
      <c r="F210">
        <v>3</v>
      </c>
    </row>
    <row r="211" spans="1:6" x14ac:dyDescent="0.3">
      <c r="A211" t="s">
        <v>493</v>
      </c>
      <c r="B211" t="s">
        <v>94</v>
      </c>
      <c r="C211">
        <v>22</v>
      </c>
      <c r="D211" t="s">
        <v>16</v>
      </c>
      <c r="E211" t="s">
        <v>131</v>
      </c>
      <c r="F211">
        <v>2</v>
      </c>
    </row>
    <row r="212" spans="1:6" x14ac:dyDescent="0.3">
      <c r="A212" t="s">
        <v>172</v>
      </c>
      <c r="B212" t="s">
        <v>39</v>
      </c>
      <c r="C212">
        <v>23</v>
      </c>
      <c r="D212" t="s">
        <v>16</v>
      </c>
      <c r="E212" t="s">
        <v>88</v>
      </c>
      <c r="F212">
        <v>14</v>
      </c>
    </row>
    <row r="213" spans="1:6" x14ac:dyDescent="0.3">
      <c r="A213" t="s">
        <v>428</v>
      </c>
      <c r="B213" t="s">
        <v>94</v>
      </c>
      <c r="C213">
        <v>24</v>
      </c>
      <c r="D213" t="s">
        <v>16</v>
      </c>
      <c r="E213" t="s">
        <v>88</v>
      </c>
      <c r="F213">
        <v>4</v>
      </c>
    </row>
    <row r="214" spans="1:6" x14ac:dyDescent="0.3">
      <c r="A214" t="s">
        <v>346</v>
      </c>
      <c r="B214" t="s">
        <v>178</v>
      </c>
      <c r="C214">
        <v>24</v>
      </c>
      <c r="D214" t="s">
        <v>16</v>
      </c>
      <c r="E214" t="s">
        <v>88</v>
      </c>
      <c r="F214">
        <v>6</v>
      </c>
    </row>
    <row r="215" spans="1:6" x14ac:dyDescent="0.3">
      <c r="A215" t="s">
        <v>393</v>
      </c>
      <c r="B215" t="s">
        <v>19</v>
      </c>
      <c r="C215">
        <v>26</v>
      </c>
      <c r="D215" t="s">
        <v>16</v>
      </c>
      <c r="E215" t="s">
        <v>131</v>
      </c>
      <c r="F215">
        <v>5</v>
      </c>
    </row>
    <row r="216" spans="1:6" x14ac:dyDescent="0.3">
      <c r="A216" t="s">
        <v>109</v>
      </c>
      <c r="B216" t="s">
        <v>42</v>
      </c>
      <c r="C216">
        <v>26</v>
      </c>
      <c r="D216" t="s">
        <v>16</v>
      </c>
      <c r="E216" t="s">
        <v>88</v>
      </c>
      <c r="F216">
        <v>23</v>
      </c>
    </row>
    <row r="217" spans="1:6" x14ac:dyDescent="0.3">
      <c r="A217" t="s">
        <v>125</v>
      </c>
      <c r="B217" t="s">
        <v>7</v>
      </c>
      <c r="C217">
        <v>26</v>
      </c>
      <c r="D217" t="s">
        <v>16</v>
      </c>
      <c r="E217" t="s">
        <v>60</v>
      </c>
      <c r="F217">
        <v>21</v>
      </c>
    </row>
    <row r="218" spans="1:6" x14ac:dyDescent="0.3">
      <c r="A218" t="s">
        <v>203</v>
      </c>
      <c r="B218" t="s">
        <v>14</v>
      </c>
      <c r="C218">
        <v>33</v>
      </c>
      <c r="D218" t="s">
        <v>16</v>
      </c>
      <c r="E218" t="s">
        <v>188</v>
      </c>
      <c r="F218">
        <v>12</v>
      </c>
    </row>
    <row r="219" spans="1:6" x14ac:dyDescent="0.3">
      <c r="A219" t="s">
        <v>138</v>
      </c>
      <c r="B219" t="s">
        <v>7</v>
      </c>
      <c r="C219">
        <v>32</v>
      </c>
      <c r="D219" t="s">
        <v>16</v>
      </c>
      <c r="E219" t="s">
        <v>88</v>
      </c>
      <c r="F219">
        <v>19</v>
      </c>
    </row>
    <row r="220" spans="1:6" x14ac:dyDescent="0.3">
      <c r="A220" t="s">
        <v>430</v>
      </c>
      <c r="B220" t="s">
        <v>94</v>
      </c>
      <c r="C220">
        <v>28</v>
      </c>
      <c r="D220" t="s">
        <v>16</v>
      </c>
      <c r="E220" t="s">
        <v>146</v>
      </c>
      <c r="F220">
        <v>4</v>
      </c>
    </row>
    <row r="221" spans="1:6" x14ac:dyDescent="0.3">
      <c r="A221" t="s">
        <v>256</v>
      </c>
      <c r="B221" t="s">
        <v>55</v>
      </c>
      <c r="C221">
        <v>26</v>
      </c>
      <c r="D221" t="s">
        <v>16</v>
      </c>
      <c r="E221" t="s">
        <v>188</v>
      </c>
      <c r="F221">
        <v>9</v>
      </c>
    </row>
    <row r="222" spans="1:6" x14ac:dyDescent="0.3">
      <c r="A222" t="s">
        <v>363</v>
      </c>
      <c r="B222" t="s">
        <v>157</v>
      </c>
      <c r="C222">
        <v>27</v>
      </c>
      <c r="D222" t="s">
        <v>16</v>
      </c>
      <c r="E222" t="s">
        <v>188</v>
      </c>
      <c r="F222">
        <v>6</v>
      </c>
    </row>
    <row r="223" spans="1:6" x14ac:dyDescent="0.3">
      <c r="A223" t="s">
        <v>251</v>
      </c>
      <c r="B223" t="s">
        <v>178</v>
      </c>
      <c r="C223">
        <v>22</v>
      </c>
      <c r="D223" t="s">
        <v>16</v>
      </c>
      <c r="E223" t="s">
        <v>88</v>
      </c>
      <c r="F223">
        <v>9</v>
      </c>
    </row>
    <row r="224" spans="1:6" x14ac:dyDescent="0.3">
      <c r="A224" t="s">
        <v>362</v>
      </c>
      <c r="B224" t="s">
        <v>25</v>
      </c>
      <c r="C224">
        <v>29</v>
      </c>
      <c r="D224" t="s">
        <v>16</v>
      </c>
      <c r="E224" t="s">
        <v>88</v>
      </c>
      <c r="F224">
        <v>6</v>
      </c>
    </row>
    <row r="225" spans="1:6" x14ac:dyDescent="0.3">
      <c r="A225" t="s">
        <v>425</v>
      </c>
      <c r="B225" t="s">
        <v>115</v>
      </c>
      <c r="C225">
        <v>23</v>
      </c>
      <c r="D225" t="s">
        <v>16</v>
      </c>
      <c r="E225" t="s">
        <v>88</v>
      </c>
      <c r="F225">
        <v>4</v>
      </c>
    </row>
    <row r="226" spans="1:6" x14ac:dyDescent="0.3">
      <c r="A226" t="s">
        <v>249</v>
      </c>
      <c r="B226" t="s">
        <v>31</v>
      </c>
      <c r="C226">
        <v>20</v>
      </c>
      <c r="D226" t="s">
        <v>16</v>
      </c>
      <c r="E226" t="s">
        <v>146</v>
      </c>
      <c r="F226">
        <v>9</v>
      </c>
    </row>
    <row r="227" spans="1:6" x14ac:dyDescent="0.3">
      <c r="A227" t="s">
        <v>402</v>
      </c>
      <c r="B227" t="s">
        <v>115</v>
      </c>
      <c r="C227">
        <v>27</v>
      </c>
      <c r="D227" t="s">
        <v>16</v>
      </c>
      <c r="E227" t="s">
        <v>88</v>
      </c>
      <c r="F227">
        <v>5</v>
      </c>
    </row>
    <row r="228" spans="1:6" x14ac:dyDescent="0.3">
      <c r="A228" t="s">
        <v>201</v>
      </c>
      <c r="B228" t="s">
        <v>115</v>
      </c>
      <c r="C228">
        <v>28</v>
      </c>
      <c r="D228" t="s">
        <v>16</v>
      </c>
      <c r="E228" t="s">
        <v>188</v>
      </c>
      <c r="F228">
        <v>12</v>
      </c>
    </row>
    <row r="229" spans="1:6" x14ac:dyDescent="0.3">
      <c r="A229" t="s">
        <v>252</v>
      </c>
      <c r="B229" t="s">
        <v>19</v>
      </c>
      <c r="C229">
        <v>22</v>
      </c>
      <c r="D229" t="s">
        <v>16</v>
      </c>
      <c r="E229" t="s">
        <v>188</v>
      </c>
      <c r="F229">
        <v>9</v>
      </c>
    </row>
    <row r="230" spans="1:6" x14ac:dyDescent="0.3">
      <c r="A230" t="s">
        <v>458</v>
      </c>
      <c r="B230" t="s">
        <v>19</v>
      </c>
      <c r="C230">
        <v>24</v>
      </c>
      <c r="D230" t="s">
        <v>16</v>
      </c>
      <c r="E230" t="s">
        <v>131</v>
      </c>
      <c r="F230">
        <v>3</v>
      </c>
    </row>
    <row r="231" spans="1:6" x14ac:dyDescent="0.3">
      <c r="A231" t="s">
        <v>145</v>
      </c>
      <c r="B231" t="s">
        <v>74</v>
      </c>
      <c r="C231">
        <v>28</v>
      </c>
      <c r="D231" t="s">
        <v>16</v>
      </c>
      <c r="E231" t="s">
        <v>146</v>
      </c>
      <c r="F231">
        <v>17</v>
      </c>
    </row>
    <row r="232" spans="1:6" x14ac:dyDescent="0.3">
      <c r="A232" t="s">
        <v>349</v>
      </c>
      <c r="B232" t="s">
        <v>178</v>
      </c>
      <c r="C232">
        <v>24</v>
      </c>
      <c r="D232" t="s">
        <v>16</v>
      </c>
      <c r="E232" t="s">
        <v>131</v>
      </c>
      <c r="F232">
        <v>6</v>
      </c>
    </row>
    <row r="233" spans="1:6" x14ac:dyDescent="0.3">
      <c r="A233" t="s">
        <v>231</v>
      </c>
      <c r="B233" t="s">
        <v>31</v>
      </c>
      <c r="C233">
        <v>21</v>
      </c>
      <c r="D233" t="s">
        <v>16</v>
      </c>
      <c r="E233" t="s">
        <v>146</v>
      </c>
      <c r="F233">
        <v>10</v>
      </c>
    </row>
    <row r="234" spans="1:6" x14ac:dyDescent="0.3">
      <c r="A234" t="s">
        <v>348</v>
      </c>
      <c r="B234" t="s">
        <v>33</v>
      </c>
      <c r="C234">
        <v>23</v>
      </c>
      <c r="D234" t="s">
        <v>16</v>
      </c>
      <c r="E234" t="s">
        <v>88</v>
      </c>
      <c r="F234">
        <v>6</v>
      </c>
    </row>
    <row r="235" spans="1:6" x14ac:dyDescent="0.3">
      <c r="A235" t="s">
        <v>234</v>
      </c>
      <c r="B235" t="s">
        <v>42</v>
      </c>
      <c r="C235">
        <v>31</v>
      </c>
      <c r="D235" t="s">
        <v>16</v>
      </c>
      <c r="E235" t="s">
        <v>131</v>
      </c>
      <c r="F235">
        <v>10</v>
      </c>
    </row>
    <row r="236" spans="1:6" x14ac:dyDescent="0.3">
      <c r="A236" t="s">
        <v>406</v>
      </c>
      <c r="B236" t="s">
        <v>45</v>
      </c>
      <c r="C236">
        <v>26</v>
      </c>
      <c r="D236" t="s">
        <v>16</v>
      </c>
      <c r="E236" t="s">
        <v>111</v>
      </c>
      <c r="F236">
        <v>5</v>
      </c>
    </row>
    <row r="237" spans="1:6" x14ac:dyDescent="0.3">
      <c r="A237" t="s">
        <v>61</v>
      </c>
      <c r="B237" t="s">
        <v>11</v>
      </c>
      <c r="C237">
        <v>23</v>
      </c>
      <c r="D237" t="s">
        <v>16</v>
      </c>
      <c r="E237" t="s">
        <v>60</v>
      </c>
      <c r="F237">
        <v>42</v>
      </c>
    </row>
    <row r="238" spans="1:6" x14ac:dyDescent="0.3">
      <c r="A238" t="s">
        <v>401</v>
      </c>
      <c r="B238" t="s">
        <v>42</v>
      </c>
      <c r="C238">
        <v>26</v>
      </c>
      <c r="D238" t="s">
        <v>16</v>
      </c>
      <c r="E238" t="s">
        <v>131</v>
      </c>
      <c r="F238">
        <v>5</v>
      </c>
    </row>
    <row r="239" spans="1:6" x14ac:dyDescent="0.3">
      <c r="A239" t="s">
        <v>405</v>
      </c>
      <c r="B239" t="s">
        <v>104</v>
      </c>
      <c r="C239">
        <v>27</v>
      </c>
      <c r="D239" t="s">
        <v>16</v>
      </c>
      <c r="E239" t="s">
        <v>215</v>
      </c>
      <c r="F239">
        <v>5</v>
      </c>
    </row>
    <row r="240" spans="1:6" x14ac:dyDescent="0.3">
      <c r="A240" t="s">
        <v>204</v>
      </c>
      <c r="B240" t="s">
        <v>39</v>
      </c>
      <c r="C240">
        <v>34</v>
      </c>
      <c r="D240" t="s">
        <v>16</v>
      </c>
      <c r="E240" t="s">
        <v>131</v>
      </c>
      <c r="F240">
        <v>12</v>
      </c>
    </row>
    <row r="241" spans="1:6" x14ac:dyDescent="0.3">
      <c r="A241" t="s">
        <v>345</v>
      </c>
      <c r="B241" t="s">
        <v>104</v>
      </c>
      <c r="C241">
        <v>29</v>
      </c>
      <c r="D241" t="s">
        <v>16</v>
      </c>
      <c r="E241" t="s">
        <v>111</v>
      </c>
      <c r="F241">
        <v>6</v>
      </c>
    </row>
    <row r="242" spans="1:6" x14ac:dyDescent="0.3">
      <c r="A242" t="s">
        <v>521</v>
      </c>
      <c r="B242" t="s">
        <v>11</v>
      </c>
      <c r="C242">
        <v>21</v>
      </c>
      <c r="D242" t="s">
        <v>16</v>
      </c>
      <c r="E242" t="s">
        <v>88</v>
      </c>
      <c r="F242">
        <v>1</v>
      </c>
    </row>
    <row r="243" spans="1:6" x14ac:dyDescent="0.3">
      <c r="A243" t="s">
        <v>235</v>
      </c>
      <c r="B243" t="s">
        <v>33</v>
      </c>
      <c r="C243">
        <v>27</v>
      </c>
      <c r="D243" t="s">
        <v>16</v>
      </c>
      <c r="E243" t="s">
        <v>131</v>
      </c>
      <c r="F243">
        <v>10</v>
      </c>
    </row>
    <row r="244" spans="1:6" x14ac:dyDescent="0.3">
      <c r="A244" t="s">
        <v>442</v>
      </c>
      <c r="B244" t="s">
        <v>64</v>
      </c>
      <c r="C244">
        <v>26</v>
      </c>
      <c r="D244" t="s">
        <v>20</v>
      </c>
      <c r="E244" t="s">
        <v>34</v>
      </c>
      <c r="F244">
        <v>3</v>
      </c>
    </row>
    <row r="245" spans="1:6" x14ac:dyDescent="0.3">
      <c r="A245" t="s">
        <v>378</v>
      </c>
      <c r="B245" t="s">
        <v>19</v>
      </c>
      <c r="C245">
        <v>21</v>
      </c>
      <c r="D245" t="s">
        <v>20</v>
      </c>
      <c r="E245" t="s">
        <v>34</v>
      </c>
      <c r="F245">
        <v>5</v>
      </c>
    </row>
    <row r="246" spans="1:6" x14ac:dyDescent="0.3">
      <c r="A246" t="s">
        <v>306</v>
      </c>
      <c r="B246" t="s">
        <v>104</v>
      </c>
      <c r="C246">
        <v>26</v>
      </c>
      <c r="D246" t="s">
        <v>20</v>
      </c>
      <c r="E246" t="s">
        <v>27</v>
      </c>
      <c r="F246">
        <v>7</v>
      </c>
    </row>
    <row r="247" spans="1:6" x14ac:dyDescent="0.3">
      <c r="A247" t="s">
        <v>267</v>
      </c>
      <c r="B247" t="s">
        <v>45</v>
      </c>
      <c r="C247">
        <v>20</v>
      </c>
      <c r="D247" t="s">
        <v>20</v>
      </c>
      <c r="E247" t="s">
        <v>23</v>
      </c>
      <c r="F247">
        <v>8</v>
      </c>
    </row>
    <row r="248" spans="1:6" x14ac:dyDescent="0.3">
      <c r="A248" t="s">
        <v>268</v>
      </c>
      <c r="B248" t="s">
        <v>142</v>
      </c>
      <c r="C248">
        <v>22</v>
      </c>
      <c r="D248" t="s">
        <v>20</v>
      </c>
      <c r="E248" t="s">
        <v>20</v>
      </c>
      <c r="F248">
        <v>8</v>
      </c>
    </row>
    <row r="249" spans="1:6" x14ac:dyDescent="0.3">
      <c r="A249" t="s">
        <v>85</v>
      </c>
      <c r="B249" t="s">
        <v>29</v>
      </c>
      <c r="C249">
        <v>19</v>
      </c>
      <c r="D249" t="s">
        <v>20</v>
      </c>
      <c r="E249" t="s">
        <v>83</v>
      </c>
      <c r="F249">
        <v>28</v>
      </c>
    </row>
    <row r="250" spans="1:6" x14ac:dyDescent="0.3">
      <c r="A250" t="s">
        <v>296</v>
      </c>
      <c r="B250" t="s">
        <v>115</v>
      </c>
      <c r="C250">
        <v>27</v>
      </c>
      <c r="D250" t="s">
        <v>20</v>
      </c>
      <c r="E250" t="s">
        <v>34</v>
      </c>
      <c r="F250">
        <v>7</v>
      </c>
    </row>
    <row r="251" spans="1:6" x14ac:dyDescent="0.3">
      <c r="A251" t="s">
        <v>323</v>
      </c>
      <c r="B251" t="s">
        <v>33</v>
      </c>
      <c r="C251">
        <v>21</v>
      </c>
      <c r="D251" t="s">
        <v>20</v>
      </c>
      <c r="E251" t="s">
        <v>27</v>
      </c>
      <c r="F251">
        <v>6</v>
      </c>
    </row>
    <row r="252" spans="1:6" x14ac:dyDescent="0.3">
      <c r="A252" t="s">
        <v>326</v>
      </c>
      <c r="B252" t="s">
        <v>74</v>
      </c>
      <c r="C252">
        <v>21</v>
      </c>
      <c r="D252" t="s">
        <v>20</v>
      </c>
      <c r="E252" t="s">
        <v>27</v>
      </c>
      <c r="F252">
        <v>6</v>
      </c>
    </row>
    <row r="253" spans="1:6" x14ac:dyDescent="0.3">
      <c r="A253" t="s">
        <v>476</v>
      </c>
      <c r="B253" t="s">
        <v>64</v>
      </c>
      <c r="C253">
        <v>25</v>
      </c>
      <c r="D253" t="s">
        <v>20</v>
      </c>
      <c r="E253" t="s">
        <v>23</v>
      </c>
      <c r="F253">
        <v>2</v>
      </c>
    </row>
    <row r="254" spans="1:6" x14ac:dyDescent="0.3">
      <c r="A254" t="s">
        <v>58</v>
      </c>
      <c r="B254" t="s">
        <v>31</v>
      </c>
      <c r="C254">
        <v>23</v>
      </c>
      <c r="D254" t="s">
        <v>20</v>
      </c>
      <c r="E254" t="s">
        <v>23</v>
      </c>
      <c r="F254">
        <v>44</v>
      </c>
    </row>
    <row r="255" spans="1:6" x14ac:dyDescent="0.3">
      <c r="A255" t="s">
        <v>293</v>
      </c>
      <c r="B255" t="s">
        <v>45</v>
      </c>
      <c r="C255">
        <v>19</v>
      </c>
      <c r="D255" t="s">
        <v>20</v>
      </c>
      <c r="E255" t="s">
        <v>23</v>
      </c>
      <c r="F255">
        <v>7</v>
      </c>
    </row>
    <row r="256" spans="1:6" x14ac:dyDescent="0.3">
      <c r="A256" t="s">
        <v>159</v>
      </c>
      <c r="B256" t="s">
        <v>74</v>
      </c>
      <c r="C256">
        <v>23</v>
      </c>
      <c r="D256" t="s">
        <v>20</v>
      </c>
      <c r="E256" t="s">
        <v>48</v>
      </c>
      <c r="F256">
        <v>15</v>
      </c>
    </row>
    <row r="257" spans="1:6" x14ac:dyDescent="0.3">
      <c r="A257" t="s">
        <v>66</v>
      </c>
      <c r="B257" t="s">
        <v>7</v>
      </c>
      <c r="C257">
        <v>29</v>
      </c>
      <c r="D257" t="s">
        <v>20</v>
      </c>
      <c r="E257" t="s">
        <v>20</v>
      </c>
      <c r="F257">
        <v>40</v>
      </c>
    </row>
    <row r="258" spans="1:6" x14ac:dyDescent="0.3">
      <c r="A258" t="s">
        <v>226</v>
      </c>
      <c r="B258" t="s">
        <v>94</v>
      </c>
      <c r="C258">
        <v>30</v>
      </c>
      <c r="D258" t="s">
        <v>20</v>
      </c>
      <c r="E258" t="s">
        <v>27</v>
      </c>
      <c r="F258">
        <v>10</v>
      </c>
    </row>
    <row r="259" spans="1:6" x14ac:dyDescent="0.3">
      <c r="A259" t="s">
        <v>49</v>
      </c>
      <c r="B259" t="s">
        <v>19</v>
      </c>
      <c r="C259">
        <v>23</v>
      </c>
      <c r="D259" t="s">
        <v>20</v>
      </c>
      <c r="E259" t="s">
        <v>48</v>
      </c>
      <c r="F259">
        <v>51</v>
      </c>
    </row>
    <row r="260" spans="1:6" x14ac:dyDescent="0.3">
      <c r="A260" t="s">
        <v>448</v>
      </c>
      <c r="B260" t="s">
        <v>55</v>
      </c>
      <c r="C260">
        <v>22</v>
      </c>
      <c r="D260" t="s">
        <v>20</v>
      </c>
      <c r="E260" t="s">
        <v>27</v>
      </c>
      <c r="F260">
        <v>3</v>
      </c>
    </row>
    <row r="261" spans="1:6" x14ac:dyDescent="0.3">
      <c r="A261" t="s">
        <v>269</v>
      </c>
      <c r="B261" t="s">
        <v>178</v>
      </c>
      <c r="C261">
        <v>23</v>
      </c>
      <c r="D261" t="s">
        <v>20</v>
      </c>
      <c r="E261" t="s">
        <v>23</v>
      </c>
      <c r="F261">
        <v>8</v>
      </c>
    </row>
    <row r="262" spans="1:6" x14ac:dyDescent="0.3">
      <c r="A262" t="s">
        <v>140</v>
      </c>
      <c r="B262" t="s">
        <v>115</v>
      </c>
      <c r="C262">
        <v>25</v>
      </c>
      <c r="D262" t="s">
        <v>20</v>
      </c>
      <c r="E262" t="s">
        <v>20</v>
      </c>
      <c r="F262">
        <v>18</v>
      </c>
    </row>
    <row r="263" spans="1:6" x14ac:dyDescent="0.3">
      <c r="A263" t="s">
        <v>212</v>
      </c>
      <c r="B263" t="s">
        <v>33</v>
      </c>
      <c r="C263">
        <v>32</v>
      </c>
      <c r="D263" t="s">
        <v>20</v>
      </c>
      <c r="E263" t="s">
        <v>83</v>
      </c>
      <c r="F263">
        <v>11</v>
      </c>
    </row>
    <row r="264" spans="1:6" x14ac:dyDescent="0.3">
      <c r="A264" t="s">
        <v>447</v>
      </c>
      <c r="B264" t="s">
        <v>45</v>
      </c>
      <c r="C264">
        <v>28</v>
      </c>
      <c r="D264" t="s">
        <v>20</v>
      </c>
      <c r="E264" t="s">
        <v>27</v>
      </c>
      <c r="F264">
        <v>3</v>
      </c>
    </row>
    <row r="265" spans="1:6" x14ac:dyDescent="0.3">
      <c r="A265" t="s">
        <v>420</v>
      </c>
      <c r="B265" t="s">
        <v>31</v>
      </c>
      <c r="C265">
        <v>26</v>
      </c>
      <c r="D265" t="s">
        <v>20</v>
      </c>
      <c r="E265" t="s">
        <v>23</v>
      </c>
      <c r="F265">
        <v>4</v>
      </c>
    </row>
    <row r="266" spans="1:6" x14ac:dyDescent="0.3">
      <c r="A266" t="s">
        <v>301</v>
      </c>
      <c r="B266" t="s">
        <v>94</v>
      </c>
      <c r="C266">
        <v>24</v>
      </c>
      <c r="D266" t="s">
        <v>20</v>
      </c>
      <c r="E266" t="s">
        <v>27</v>
      </c>
      <c r="F266">
        <v>7</v>
      </c>
    </row>
    <row r="267" spans="1:6" x14ac:dyDescent="0.3">
      <c r="A267" t="s">
        <v>242</v>
      </c>
      <c r="B267" t="s">
        <v>64</v>
      </c>
      <c r="C267">
        <v>19</v>
      </c>
      <c r="D267" t="s">
        <v>20</v>
      </c>
      <c r="E267" t="s">
        <v>17</v>
      </c>
      <c r="F267">
        <v>9</v>
      </c>
    </row>
    <row r="268" spans="1:6" x14ac:dyDescent="0.3">
      <c r="A268" t="s">
        <v>26</v>
      </c>
      <c r="B268" t="s">
        <v>7</v>
      </c>
      <c r="C268">
        <v>32</v>
      </c>
      <c r="D268" t="s">
        <v>20</v>
      </c>
      <c r="E268" t="s">
        <v>27</v>
      </c>
      <c r="F268">
        <v>115</v>
      </c>
    </row>
    <row r="269" spans="1:6" x14ac:dyDescent="0.3">
      <c r="A269" t="s">
        <v>181</v>
      </c>
      <c r="B269" t="s">
        <v>157</v>
      </c>
      <c r="C269">
        <v>29</v>
      </c>
      <c r="D269" t="s">
        <v>20</v>
      </c>
      <c r="E269" t="s">
        <v>27</v>
      </c>
      <c r="F269">
        <v>13</v>
      </c>
    </row>
    <row r="270" spans="1:6" x14ac:dyDescent="0.3">
      <c r="A270" t="s">
        <v>472</v>
      </c>
      <c r="B270" t="s">
        <v>42</v>
      </c>
      <c r="C270">
        <v>18</v>
      </c>
      <c r="D270" t="s">
        <v>20</v>
      </c>
      <c r="E270" t="s">
        <v>27</v>
      </c>
      <c r="F270">
        <v>2</v>
      </c>
    </row>
    <row r="271" spans="1:6" x14ac:dyDescent="0.3">
      <c r="A271" t="s">
        <v>186</v>
      </c>
      <c r="B271" t="s">
        <v>33</v>
      </c>
      <c r="C271">
        <v>26</v>
      </c>
      <c r="D271" t="s">
        <v>20</v>
      </c>
      <c r="E271" t="s">
        <v>34</v>
      </c>
      <c r="F271">
        <v>13</v>
      </c>
    </row>
    <row r="272" spans="1:6" x14ac:dyDescent="0.3">
      <c r="A272" t="s">
        <v>166</v>
      </c>
      <c r="B272" t="s">
        <v>55</v>
      </c>
      <c r="C272">
        <v>24</v>
      </c>
      <c r="D272" t="s">
        <v>20</v>
      </c>
      <c r="E272" t="s">
        <v>34</v>
      </c>
      <c r="F272">
        <v>14</v>
      </c>
    </row>
    <row r="273" spans="1:6" x14ac:dyDescent="0.3">
      <c r="A273" t="s">
        <v>227</v>
      </c>
      <c r="B273" t="s">
        <v>19</v>
      </c>
      <c r="C273">
        <v>26</v>
      </c>
      <c r="D273" t="s">
        <v>20</v>
      </c>
      <c r="E273" t="s">
        <v>23</v>
      </c>
      <c r="F273">
        <v>10</v>
      </c>
    </row>
    <row r="274" spans="1:6" x14ac:dyDescent="0.3">
      <c r="A274" t="s">
        <v>137</v>
      </c>
      <c r="B274" t="s">
        <v>64</v>
      </c>
      <c r="C274">
        <v>23</v>
      </c>
      <c r="D274" t="s">
        <v>20</v>
      </c>
      <c r="E274" t="s">
        <v>23</v>
      </c>
      <c r="F274">
        <v>19</v>
      </c>
    </row>
    <row r="275" spans="1:6" x14ac:dyDescent="0.3">
      <c r="A275" t="s">
        <v>340</v>
      </c>
      <c r="B275" t="s">
        <v>55</v>
      </c>
      <c r="C275">
        <v>32</v>
      </c>
      <c r="D275" t="s">
        <v>20</v>
      </c>
      <c r="E275" t="s">
        <v>27</v>
      </c>
      <c r="F275">
        <v>6</v>
      </c>
    </row>
    <row r="276" spans="1:6" x14ac:dyDescent="0.3">
      <c r="A276" t="s">
        <v>440</v>
      </c>
      <c r="B276" t="s">
        <v>42</v>
      </c>
      <c r="C276">
        <v>27</v>
      </c>
      <c r="D276" t="s">
        <v>20</v>
      </c>
      <c r="E276" t="s">
        <v>83</v>
      </c>
      <c r="F276">
        <v>3</v>
      </c>
    </row>
    <row r="277" spans="1:6" x14ac:dyDescent="0.3">
      <c r="A277" t="s">
        <v>337</v>
      </c>
      <c r="B277" t="s">
        <v>25</v>
      </c>
      <c r="C277">
        <v>27</v>
      </c>
      <c r="D277" t="s">
        <v>20</v>
      </c>
      <c r="E277" t="s">
        <v>96</v>
      </c>
      <c r="F277">
        <v>6</v>
      </c>
    </row>
    <row r="278" spans="1:6" x14ac:dyDescent="0.3">
      <c r="A278" t="s">
        <v>325</v>
      </c>
      <c r="B278" t="s">
        <v>157</v>
      </c>
      <c r="C278">
        <v>21</v>
      </c>
      <c r="D278" t="s">
        <v>20</v>
      </c>
      <c r="E278" t="s">
        <v>27</v>
      </c>
      <c r="F278">
        <v>6</v>
      </c>
    </row>
    <row r="279" spans="1:6" x14ac:dyDescent="0.3">
      <c r="A279" t="s">
        <v>413</v>
      </c>
      <c r="B279" t="s">
        <v>25</v>
      </c>
      <c r="C279">
        <v>20</v>
      </c>
      <c r="D279" t="s">
        <v>20</v>
      </c>
      <c r="E279" t="s">
        <v>83</v>
      </c>
      <c r="F279">
        <v>4</v>
      </c>
    </row>
    <row r="280" spans="1:6" x14ac:dyDescent="0.3">
      <c r="A280" t="s">
        <v>449</v>
      </c>
      <c r="B280" t="s">
        <v>142</v>
      </c>
      <c r="C280">
        <v>31</v>
      </c>
      <c r="D280" t="s">
        <v>20</v>
      </c>
      <c r="E280" t="s">
        <v>17</v>
      </c>
      <c r="F280">
        <v>3</v>
      </c>
    </row>
    <row r="281" spans="1:6" x14ac:dyDescent="0.3">
      <c r="A281" t="s">
        <v>412</v>
      </c>
      <c r="B281" t="s">
        <v>142</v>
      </c>
      <c r="C281">
        <v>21</v>
      </c>
      <c r="D281" t="s">
        <v>20</v>
      </c>
      <c r="E281" t="s">
        <v>27</v>
      </c>
      <c r="F281">
        <v>4</v>
      </c>
    </row>
    <row r="282" spans="1:6" x14ac:dyDescent="0.3">
      <c r="A282" t="s">
        <v>185</v>
      </c>
      <c r="B282" t="s">
        <v>142</v>
      </c>
      <c r="C282">
        <v>27</v>
      </c>
      <c r="D282" t="s">
        <v>20</v>
      </c>
      <c r="E282" t="s">
        <v>48</v>
      </c>
      <c r="F282">
        <v>13</v>
      </c>
    </row>
    <row r="283" spans="1:6" x14ac:dyDescent="0.3">
      <c r="A283" t="s">
        <v>510</v>
      </c>
      <c r="B283" t="s">
        <v>25</v>
      </c>
      <c r="C283">
        <v>18</v>
      </c>
      <c r="D283" t="s">
        <v>20</v>
      </c>
      <c r="E283" t="s">
        <v>27</v>
      </c>
      <c r="F283">
        <v>1</v>
      </c>
    </row>
    <row r="284" spans="1:6" x14ac:dyDescent="0.3">
      <c r="A284" t="s">
        <v>80</v>
      </c>
      <c r="B284" t="s">
        <v>29</v>
      </c>
      <c r="C284">
        <v>24</v>
      </c>
      <c r="D284" t="s">
        <v>20</v>
      </c>
      <c r="E284" t="s">
        <v>34</v>
      </c>
      <c r="F284">
        <v>30</v>
      </c>
    </row>
    <row r="285" spans="1:6" x14ac:dyDescent="0.3">
      <c r="A285" t="s">
        <v>302</v>
      </c>
      <c r="B285" t="s">
        <v>178</v>
      </c>
      <c r="C285">
        <v>30</v>
      </c>
      <c r="D285" t="s">
        <v>20</v>
      </c>
      <c r="E285" t="s">
        <v>27</v>
      </c>
      <c r="F285">
        <v>7</v>
      </c>
    </row>
    <row r="286" spans="1:6" x14ac:dyDescent="0.3">
      <c r="A286" t="s">
        <v>473</v>
      </c>
      <c r="B286" t="s">
        <v>115</v>
      </c>
      <c r="C286">
        <v>21</v>
      </c>
      <c r="D286" t="s">
        <v>20</v>
      </c>
      <c r="E286" t="s">
        <v>135</v>
      </c>
      <c r="F286">
        <v>2</v>
      </c>
    </row>
    <row r="287" spans="1:6" x14ac:dyDescent="0.3">
      <c r="A287" t="s">
        <v>160</v>
      </c>
      <c r="B287" t="s">
        <v>11</v>
      </c>
      <c r="C287">
        <v>31</v>
      </c>
      <c r="D287" t="s">
        <v>20</v>
      </c>
      <c r="E287" t="s">
        <v>27</v>
      </c>
      <c r="F287">
        <v>15</v>
      </c>
    </row>
    <row r="288" spans="1:6" x14ac:dyDescent="0.3">
      <c r="A288" t="s">
        <v>56</v>
      </c>
      <c r="B288" t="s">
        <v>19</v>
      </c>
      <c r="C288">
        <v>25</v>
      </c>
      <c r="D288" t="s">
        <v>20</v>
      </c>
      <c r="E288" t="s">
        <v>23</v>
      </c>
      <c r="F288">
        <v>45</v>
      </c>
    </row>
    <row r="289" spans="1:6" x14ac:dyDescent="0.3">
      <c r="A289" t="s">
        <v>512</v>
      </c>
      <c r="B289" t="s">
        <v>94</v>
      </c>
      <c r="C289">
        <v>22</v>
      </c>
      <c r="D289" t="s">
        <v>20</v>
      </c>
      <c r="E289" t="s">
        <v>20</v>
      </c>
      <c r="F289">
        <v>1</v>
      </c>
    </row>
    <row r="290" spans="1:6" x14ac:dyDescent="0.3">
      <c r="A290" t="s">
        <v>51</v>
      </c>
      <c r="B290" t="s">
        <v>14</v>
      </c>
      <c r="C290">
        <v>35</v>
      </c>
      <c r="D290" t="s">
        <v>20</v>
      </c>
      <c r="E290" t="s">
        <v>48</v>
      </c>
      <c r="F290">
        <v>49</v>
      </c>
    </row>
    <row r="291" spans="1:6" x14ac:dyDescent="0.3">
      <c r="A291" t="s">
        <v>341</v>
      </c>
      <c r="B291" t="s">
        <v>39</v>
      </c>
      <c r="C291">
        <v>35</v>
      </c>
      <c r="D291" t="s">
        <v>20</v>
      </c>
      <c r="E291" t="s">
        <v>27</v>
      </c>
      <c r="F291">
        <v>6</v>
      </c>
    </row>
    <row r="292" spans="1:6" x14ac:dyDescent="0.3">
      <c r="A292" t="s">
        <v>421</v>
      </c>
      <c r="B292" t="s">
        <v>104</v>
      </c>
      <c r="C292">
        <v>31</v>
      </c>
      <c r="D292" t="s">
        <v>20</v>
      </c>
      <c r="E292" t="s">
        <v>27</v>
      </c>
      <c r="F292">
        <v>4</v>
      </c>
    </row>
    <row r="293" spans="1:6" x14ac:dyDescent="0.3">
      <c r="A293" t="s">
        <v>295</v>
      </c>
      <c r="B293" t="s">
        <v>55</v>
      </c>
      <c r="C293">
        <v>25</v>
      </c>
      <c r="D293" t="s">
        <v>20</v>
      </c>
      <c r="E293" t="s">
        <v>23</v>
      </c>
      <c r="F293">
        <v>7</v>
      </c>
    </row>
    <row r="294" spans="1:6" x14ac:dyDescent="0.3">
      <c r="A294" t="s">
        <v>322</v>
      </c>
      <c r="B294" t="s">
        <v>115</v>
      </c>
      <c r="C294">
        <v>19</v>
      </c>
      <c r="D294" t="s">
        <v>20</v>
      </c>
      <c r="E294" t="s">
        <v>34</v>
      </c>
      <c r="F294">
        <v>6</v>
      </c>
    </row>
    <row r="295" spans="1:6" x14ac:dyDescent="0.3">
      <c r="A295" t="s">
        <v>134</v>
      </c>
      <c r="B295" t="s">
        <v>7</v>
      </c>
      <c r="C295">
        <v>23</v>
      </c>
      <c r="D295" t="s">
        <v>20</v>
      </c>
      <c r="E295" t="s">
        <v>135</v>
      </c>
      <c r="F295">
        <v>19</v>
      </c>
    </row>
    <row r="296" spans="1:6" x14ac:dyDescent="0.3">
      <c r="A296" t="s">
        <v>332</v>
      </c>
      <c r="B296" t="s">
        <v>45</v>
      </c>
      <c r="C296">
        <v>23</v>
      </c>
      <c r="D296" t="s">
        <v>20</v>
      </c>
      <c r="E296" t="s">
        <v>34</v>
      </c>
      <c r="F296">
        <v>6</v>
      </c>
    </row>
    <row r="297" spans="1:6" x14ac:dyDescent="0.3">
      <c r="A297" t="s">
        <v>336</v>
      </c>
      <c r="B297" t="s">
        <v>29</v>
      </c>
      <c r="C297">
        <v>28</v>
      </c>
      <c r="D297" t="s">
        <v>20</v>
      </c>
      <c r="E297" t="s">
        <v>20</v>
      </c>
      <c r="F297">
        <v>6</v>
      </c>
    </row>
    <row r="298" spans="1:6" x14ac:dyDescent="0.3">
      <c r="A298" t="s">
        <v>482</v>
      </c>
      <c r="B298" t="s">
        <v>94</v>
      </c>
      <c r="C298">
        <v>33</v>
      </c>
      <c r="D298" t="s">
        <v>20</v>
      </c>
      <c r="E298" t="s">
        <v>20</v>
      </c>
      <c r="F298">
        <v>2</v>
      </c>
    </row>
    <row r="299" spans="1:6" x14ac:dyDescent="0.3">
      <c r="A299" t="s">
        <v>108</v>
      </c>
      <c r="B299" t="s">
        <v>39</v>
      </c>
      <c r="C299">
        <v>27</v>
      </c>
      <c r="D299" t="s">
        <v>20</v>
      </c>
      <c r="E299" t="s">
        <v>27</v>
      </c>
      <c r="F299">
        <v>23</v>
      </c>
    </row>
    <row r="300" spans="1:6" x14ac:dyDescent="0.3">
      <c r="A300" t="s">
        <v>119</v>
      </c>
      <c r="B300" t="s">
        <v>42</v>
      </c>
      <c r="C300">
        <v>26</v>
      </c>
      <c r="D300" t="s">
        <v>20</v>
      </c>
      <c r="E300" t="s">
        <v>23</v>
      </c>
      <c r="F300">
        <v>21</v>
      </c>
    </row>
    <row r="301" spans="1:6" x14ac:dyDescent="0.3">
      <c r="A301" t="s">
        <v>243</v>
      </c>
      <c r="B301" t="s">
        <v>11</v>
      </c>
      <c r="C301">
        <v>25</v>
      </c>
      <c r="D301" t="s">
        <v>20</v>
      </c>
      <c r="E301" t="s">
        <v>27</v>
      </c>
      <c r="F301">
        <v>9</v>
      </c>
    </row>
    <row r="302" spans="1:6" x14ac:dyDescent="0.3">
      <c r="A302" t="s">
        <v>471</v>
      </c>
      <c r="B302" t="s">
        <v>157</v>
      </c>
      <c r="C302">
        <v>25</v>
      </c>
      <c r="D302" t="s">
        <v>20</v>
      </c>
      <c r="E302" t="s">
        <v>27</v>
      </c>
      <c r="F302">
        <v>2</v>
      </c>
    </row>
    <row r="303" spans="1:6" x14ac:dyDescent="0.3">
      <c r="A303" t="s">
        <v>478</v>
      </c>
      <c r="B303" t="s">
        <v>33</v>
      </c>
      <c r="C303">
        <v>25</v>
      </c>
      <c r="D303" t="s">
        <v>20</v>
      </c>
      <c r="E303" t="s">
        <v>27</v>
      </c>
      <c r="F303">
        <v>2</v>
      </c>
    </row>
    <row r="304" spans="1:6" x14ac:dyDescent="0.3">
      <c r="A304" t="s">
        <v>245</v>
      </c>
      <c r="B304" t="s">
        <v>74</v>
      </c>
      <c r="C304">
        <v>24</v>
      </c>
      <c r="D304" t="s">
        <v>20</v>
      </c>
      <c r="E304" t="s">
        <v>135</v>
      </c>
      <c r="F304">
        <v>9</v>
      </c>
    </row>
    <row r="305" spans="1:6" x14ac:dyDescent="0.3">
      <c r="A305" t="s">
        <v>416</v>
      </c>
      <c r="B305" t="s">
        <v>31</v>
      </c>
      <c r="C305">
        <v>23</v>
      </c>
      <c r="D305" t="s">
        <v>20</v>
      </c>
      <c r="E305" t="s">
        <v>23</v>
      </c>
      <c r="F305">
        <v>4</v>
      </c>
    </row>
    <row r="306" spans="1:6" x14ac:dyDescent="0.3">
      <c r="A306" t="s">
        <v>477</v>
      </c>
      <c r="B306" t="s">
        <v>19</v>
      </c>
      <c r="C306">
        <v>25</v>
      </c>
      <c r="D306" t="s">
        <v>20</v>
      </c>
      <c r="E306" t="s">
        <v>96</v>
      </c>
      <c r="F306">
        <v>2</v>
      </c>
    </row>
    <row r="307" spans="1:6" x14ac:dyDescent="0.3">
      <c r="A307" t="s">
        <v>197</v>
      </c>
      <c r="B307" t="s">
        <v>31</v>
      </c>
      <c r="C307">
        <v>25</v>
      </c>
      <c r="D307" t="s">
        <v>20</v>
      </c>
      <c r="E307" t="s">
        <v>27</v>
      </c>
      <c r="F307">
        <v>12</v>
      </c>
    </row>
    <row r="308" spans="1:6" x14ac:dyDescent="0.3">
      <c r="A308" t="s">
        <v>224</v>
      </c>
      <c r="B308" t="s">
        <v>104</v>
      </c>
      <c r="C308">
        <v>23</v>
      </c>
      <c r="D308" t="s">
        <v>20</v>
      </c>
      <c r="E308" t="s">
        <v>23</v>
      </c>
      <c r="F308">
        <v>10</v>
      </c>
    </row>
    <row r="309" spans="1:6" x14ac:dyDescent="0.3">
      <c r="A309" t="s">
        <v>379</v>
      </c>
      <c r="B309" t="s">
        <v>104</v>
      </c>
      <c r="C309">
        <v>25</v>
      </c>
      <c r="D309" t="s">
        <v>20</v>
      </c>
      <c r="E309" t="s">
        <v>96</v>
      </c>
      <c r="F309">
        <v>5</v>
      </c>
    </row>
    <row r="310" spans="1:6" x14ac:dyDescent="0.3">
      <c r="A310" t="s">
        <v>246</v>
      </c>
      <c r="B310" t="s">
        <v>33</v>
      </c>
      <c r="C310">
        <v>27</v>
      </c>
      <c r="D310" t="s">
        <v>20</v>
      </c>
      <c r="E310" t="s">
        <v>27</v>
      </c>
      <c r="F310">
        <v>9</v>
      </c>
    </row>
    <row r="311" spans="1:6" x14ac:dyDescent="0.3">
      <c r="A311" t="s">
        <v>380</v>
      </c>
      <c r="B311" t="s">
        <v>157</v>
      </c>
      <c r="C311">
        <v>20</v>
      </c>
      <c r="D311" t="s">
        <v>20</v>
      </c>
      <c r="E311" t="s">
        <v>96</v>
      </c>
      <c r="F311">
        <v>5</v>
      </c>
    </row>
    <row r="312" spans="1:6" x14ac:dyDescent="0.3">
      <c r="A312" t="s">
        <v>289</v>
      </c>
      <c r="B312" t="s">
        <v>64</v>
      </c>
      <c r="C312">
        <v>23</v>
      </c>
      <c r="D312" t="s">
        <v>20</v>
      </c>
      <c r="E312" t="s">
        <v>27</v>
      </c>
      <c r="F312">
        <v>7</v>
      </c>
    </row>
    <row r="313" spans="1:6" x14ac:dyDescent="0.3">
      <c r="A313" t="s">
        <v>514</v>
      </c>
      <c r="B313" t="s">
        <v>178</v>
      </c>
      <c r="C313">
        <v>23</v>
      </c>
      <c r="D313" t="s">
        <v>20</v>
      </c>
      <c r="E313" t="s">
        <v>27</v>
      </c>
      <c r="F313">
        <v>1</v>
      </c>
    </row>
    <row r="314" spans="1:6" x14ac:dyDescent="0.3">
      <c r="A314" t="s">
        <v>196</v>
      </c>
      <c r="B314" t="s">
        <v>25</v>
      </c>
      <c r="C314">
        <v>27</v>
      </c>
      <c r="D314" t="s">
        <v>20</v>
      </c>
      <c r="E314" t="s">
        <v>27</v>
      </c>
      <c r="F314">
        <v>12</v>
      </c>
    </row>
    <row r="315" spans="1:6" x14ac:dyDescent="0.3">
      <c r="A315" t="s">
        <v>382</v>
      </c>
      <c r="B315" t="s">
        <v>14</v>
      </c>
      <c r="C315">
        <v>28</v>
      </c>
      <c r="D315" t="s">
        <v>20</v>
      </c>
      <c r="E315" t="s">
        <v>23</v>
      </c>
      <c r="F315">
        <v>5</v>
      </c>
    </row>
    <row r="316" spans="1:6" x14ac:dyDescent="0.3">
      <c r="A316" t="s">
        <v>517</v>
      </c>
      <c r="B316" t="s">
        <v>142</v>
      </c>
      <c r="C316">
        <v>22</v>
      </c>
      <c r="D316" t="s">
        <v>20</v>
      </c>
      <c r="E316" t="s">
        <v>83</v>
      </c>
      <c r="F316">
        <v>1</v>
      </c>
    </row>
    <row r="317" spans="1:6" x14ac:dyDescent="0.3">
      <c r="A317" t="s">
        <v>86</v>
      </c>
      <c r="B317" t="s">
        <v>55</v>
      </c>
      <c r="C317">
        <v>27</v>
      </c>
      <c r="D317" t="s">
        <v>20</v>
      </c>
      <c r="E317" t="s">
        <v>23</v>
      </c>
      <c r="F317">
        <v>28</v>
      </c>
    </row>
    <row r="318" spans="1:6" x14ac:dyDescent="0.3">
      <c r="A318" t="s">
        <v>225</v>
      </c>
      <c r="B318" t="s">
        <v>74</v>
      </c>
      <c r="C318">
        <v>25</v>
      </c>
      <c r="D318" t="s">
        <v>20</v>
      </c>
      <c r="E318" t="s">
        <v>27</v>
      </c>
      <c r="F318">
        <v>10</v>
      </c>
    </row>
    <row r="319" spans="1:6" x14ac:dyDescent="0.3">
      <c r="A319" t="s">
        <v>198</v>
      </c>
      <c r="B319" t="s">
        <v>39</v>
      </c>
      <c r="C319">
        <v>26</v>
      </c>
      <c r="D319" t="s">
        <v>20</v>
      </c>
      <c r="E319" t="s">
        <v>27</v>
      </c>
      <c r="F319">
        <v>12</v>
      </c>
    </row>
    <row r="320" spans="1:6" x14ac:dyDescent="0.3">
      <c r="A320" t="s">
        <v>292</v>
      </c>
      <c r="B320" t="s">
        <v>178</v>
      </c>
      <c r="C320">
        <v>26</v>
      </c>
      <c r="D320" t="s">
        <v>20</v>
      </c>
      <c r="E320" t="s">
        <v>23</v>
      </c>
      <c r="F320">
        <v>7</v>
      </c>
    </row>
    <row r="321" spans="1:6" x14ac:dyDescent="0.3">
      <c r="A321" t="s">
        <v>415</v>
      </c>
      <c r="B321" t="s">
        <v>157</v>
      </c>
      <c r="C321">
        <v>30</v>
      </c>
      <c r="D321" t="s">
        <v>20</v>
      </c>
      <c r="E321" t="s">
        <v>23</v>
      </c>
      <c r="F321">
        <v>4</v>
      </c>
    </row>
    <row r="322" spans="1:6" x14ac:dyDescent="0.3">
      <c r="A322" t="s">
        <v>385</v>
      </c>
      <c r="B322" t="s">
        <v>14</v>
      </c>
      <c r="C322">
        <v>25</v>
      </c>
      <c r="D322" t="s">
        <v>20</v>
      </c>
      <c r="E322" t="s">
        <v>27</v>
      </c>
      <c r="F322">
        <v>5</v>
      </c>
    </row>
    <row r="323" spans="1:6" x14ac:dyDescent="0.3">
      <c r="A323" t="s">
        <v>297</v>
      </c>
      <c r="B323" t="s">
        <v>64</v>
      </c>
      <c r="C323">
        <v>22</v>
      </c>
      <c r="D323" t="s">
        <v>20</v>
      </c>
      <c r="E323" t="s">
        <v>27</v>
      </c>
      <c r="F323">
        <v>7</v>
      </c>
    </row>
    <row r="324" spans="1:6" x14ac:dyDescent="0.3">
      <c r="A324" t="s">
        <v>474</v>
      </c>
      <c r="B324" t="s">
        <v>178</v>
      </c>
      <c r="C324">
        <v>21</v>
      </c>
      <c r="D324" t="s">
        <v>20</v>
      </c>
      <c r="E324" t="s">
        <v>27</v>
      </c>
      <c r="F324">
        <v>2</v>
      </c>
    </row>
    <row r="325" spans="1:6" x14ac:dyDescent="0.3">
      <c r="A325" t="s">
        <v>288</v>
      </c>
      <c r="B325" t="s">
        <v>157</v>
      </c>
      <c r="C325">
        <v>31</v>
      </c>
      <c r="D325" t="s">
        <v>20</v>
      </c>
      <c r="E325" t="s">
        <v>27</v>
      </c>
      <c r="F325">
        <v>7</v>
      </c>
    </row>
    <row r="326" spans="1:6" x14ac:dyDescent="0.3">
      <c r="A326" t="s">
        <v>78</v>
      </c>
      <c r="B326" t="s">
        <v>31</v>
      </c>
      <c r="C326">
        <v>29</v>
      </c>
      <c r="D326" t="s">
        <v>20</v>
      </c>
      <c r="E326" t="s">
        <v>21</v>
      </c>
      <c r="F326">
        <v>31</v>
      </c>
    </row>
    <row r="327" spans="1:6" x14ac:dyDescent="0.3">
      <c r="A327" t="s">
        <v>445</v>
      </c>
      <c r="B327" t="s">
        <v>157</v>
      </c>
      <c r="C327">
        <v>22</v>
      </c>
      <c r="D327" t="s">
        <v>20</v>
      </c>
      <c r="E327" t="s">
        <v>23</v>
      </c>
      <c r="F327">
        <v>3</v>
      </c>
    </row>
    <row r="328" spans="1:6" x14ac:dyDescent="0.3">
      <c r="A328" t="s">
        <v>418</v>
      </c>
      <c r="B328" t="s">
        <v>94</v>
      </c>
      <c r="C328">
        <v>26</v>
      </c>
      <c r="D328" t="s">
        <v>20</v>
      </c>
      <c r="E328" t="s">
        <v>23</v>
      </c>
      <c r="F328">
        <v>4</v>
      </c>
    </row>
    <row r="329" spans="1:6" x14ac:dyDescent="0.3">
      <c r="A329" t="s">
        <v>516</v>
      </c>
      <c r="B329" t="s">
        <v>45</v>
      </c>
      <c r="C329">
        <v>25</v>
      </c>
      <c r="D329" t="s">
        <v>20</v>
      </c>
      <c r="E329" t="s">
        <v>27</v>
      </c>
      <c r="F329">
        <v>1</v>
      </c>
    </row>
    <row r="330" spans="1:6" x14ac:dyDescent="0.3">
      <c r="A330" t="s">
        <v>481</v>
      </c>
      <c r="B330" t="s">
        <v>64</v>
      </c>
      <c r="C330">
        <v>25</v>
      </c>
      <c r="D330" t="s">
        <v>20</v>
      </c>
      <c r="E330" t="s">
        <v>20</v>
      </c>
      <c r="F330">
        <v>2</v>
      </c>
    </row>
    <row r="331" spans="1:6" x14ac:dyDescent="0.3">
      <c r="A331" t="s">
        <v>384</v>
      </c>
      <c r="B331" t="s">
        <v>64</v>
      </c>
      <c r="C331">
        <v>22</v>
      </c>
      <c r="D331" t="s">
        <v>20</v>
      </c>
      <c r="E331" t="s">
        <v>27</v>
      </c>
      <c r="F331">
        <v>5</v>
      </c>
    </row>
    <row r="332" spans="1:6" x14ac:dyDescent="0.3">
      <c r="A332" t="s">
        <v>183</v>
      </c>
      <c r="B332" t="s">
        <v>55</v>
      </c>
      <c r="C332">
        <v>25</v>
      </c>
      <c r="D332" t="s">
        <v>20</v>
      </c>
      <c r="E332" t="s">
        <v>34</v>
      </c>
      <c r="F332">
        <v>13</v>
      </c>
    </row>
    <row r="333" spans="1:6" x14ac:dyDescent="0.3">
      <c r="A333" t="s">
        <v>331</v>
      </c>
      <c r="B333" t="s">
        <v>25</v>
      </c>
      <c r="C333">
        <v>24</v>
      </c>
      <c r="D333" t="s">
        <v>20</v>
      </c>
      <c r="E333" t="s">
        <v>20</v>
      </c>
      <c r="F333">
        <v>6</v>
      </c>
    </row>
    <row r="334" spans="1:6" x14ac:dyDescent="0.3">
      <c r="A334" t="s">
        <v>518</v>
      </c>
      <c r="B334" t="s">
        <v>178</v>
      </c>
      <c r="C334">
        <v>25</v>
      </c>
      <c r="D334" t="s">
        <v>20</v>
      </c>
      <c r="E334" t="s">
        <v>27</v>
      </c>
      <c r="F334">
        <v>1</v>
      </c>
    </row>
    <row r="335" spans="1:6" x14ac:dyDescent="0.3">
      <c r="A335" t="s">
        <v>222</v>
      </c>
      <c r="B335" t="s">
        <v>42</v>
      </c>
      <c r="C335">
        <v>31</v>
      </c>
      <c r="D335" t="s">
        <v>20</v>
      </c>
      <c r="E335" t="s">
        <v>27</v>
      </c>
      <c r="F335">
        <v>10</v>
      </c>
    </row>
    <row r="336" spans="1:6" x14ac:dyDescent="0.3">
      <c r="A336" t="s">
        <v>266</v>
      </c>
      <c r="B336" t="s">
        <v>115</v>
      </c>
      <c r="C336">
        <v>24</v>
      </c>
      <c r="D336" t="s">
        <v>20</v>
      </c>
      <c r="E336" t="s">
        <v>27</v>
      </c>
      <c r="F336">
        <v>8</v>
      </c>
    </row>
    <row r="337" spans="1:6" x14ac:dyDescent="0.3">
      <c r="A337" t="s">
        <v>480</v>
      </c>
      <c r="B337" t="s">
        <v>157</v>
      </c>
      <c r="C337">
        <v>26</v>
      </c>
      <c r="D337" t="s">
        <v>20</v>
      </c>
      <c r="E337" t="s">
        <v>20</v>
      </c>
      <c r="F337">
        <v>2</v>
      </c>
    </row>
    <row r="338" spans="1:6" x14ac:dyDescent="0.3">
      <c r="A338" t="s">
        <v>221</v>
      </c>
      <c r="B338" t="s">
        <v>45</v>
      </c>
      <c r="C338">
        <v>24</v>
      </c>
      <c r="D338" t="s">
        <v>20</v>
      </c>
      <c r="E338" t="s">
        <v>20</v>
      </c>
      <c r="F338">
        <v>10</v>
      </c>
    </row>
    <row r="339" spans="1:6" x14ac:dyDescent="0.3">
      <c r="A339" t="s">
        <v>121</v>
      </c>
      <c r="B339" t="s">
        <v>11</v>
      </c>
      <c r="C339">
        <v>25</v>
      </c>
      <c r="D339" t="s">
        <v>20</v>
      </c>
      <c r="E339" t="s">
        <v>27</v>
      </c>
      <c r="F339">
        <v>21</v>
      </c>
    </row>
    <row r="340" spans="1:6" x14ac:dyDescent="0.3">
      <c r="A340" t="s">
        <v>300</v>
      </c>
      <c r="B340" t="s">
        <v>29</v>
      </c>
      <c r="C340">
        <v>28</v>
      </c>
      <c r="D340" t="s">
        <v>20</v>
      </c>
      <c r="E340" t="s">
        <v>23</v>
      </c>
      <c r="F340">
        <v>7</v>
      </c>
    </row>
    <row r="341" spans="1:6" x14ac:dyDescent="0.3">
      <c r="A341" t="s">
        <v>324</v>
      </c>
      <c r="B341" t="s">
        <v>157</v>
      </c>
      <c r="C341">
        <v>25</v>
      </c>
      <c r="D341" t="s">
        <v>20</v>
      </c>
      <c r="E341" t="s">
        <v>20</v>
      </c>
      <c r="F341">
        <v>6</v>
      </c>
    </row>
    <row r="342" spans="1:6" x14ac:dyDescent="0.3">
      <c r="A342" t="s">
        <v>511</v>
      </c>
      <c r="B342" t="s">
        <v>178</v>
      </c>
      <c r="C342">
        <v>19</v>
      </c>
      <c r="D342" t="s">
        <v>20</v>
      </c>
      <c r="E342" t="s">
        <v>34</v>
      </c>
      <c r="F342">
        <v>1</v>
      </c>
    </row>
    <row r="343" spans="1:6" x14ac:dyDescent="0.3">
      <c r="A343" t="s">
        <v>513</v>
      </c>
      <c r="B343" t="s">
        <v>19</v>
      </c>
      <c r="C343">
        <v>19</v>
      </c>
      <c r="D343" t="s">
        <v>20</v>
      </c>
      <c r="E343" t="s">
        <v>23</v>
      </c>
      <c r="F343">
        <v>1</v>
      </c>
    </row>
    <row r="344" spans="1:6" x14ac:dyDescent="0.3">
      <c r="A344" t="s">
        <v>209</v>
      </c>
      <c r="B344" t="s">
        <v>19</v>
      </c>
      <c r="C344">
        <v>19</v>
      </c>
      <c r="D344" t="s">
        <v>20</v>
      </c>
      <c r="E344" t="s">
        <v>48</v>
      </c>
      <c r="F344">
        <v>11</v>
      </c>
    </row>
    <row r="345" spans="1:6" x14ac:dyDescent="0.3">
      <c r="A345" t="s">
        <v>446</v>
      </c>
      <c r="B345" t="s">
        <v>45</v>
      </c>
      <c r="C345">
        <v>21</v>
      </c>
      <c r="D345" t="s">
        <v>20</v>
      </c>
      <c r="E345" t="s">
        <v>27</v>
      </c>
      <c r="F345">
        <v>3</v>
      </c>
    </row>
    <row r="346" spans="1:6" x14ac:dyDescent="0.3">
      <c r="A346" t="s">
        <v>515</v>
      </c>
      <c r="B346" t="s">
        <v>104</v>
      </c>
      <c r="C346">
        <v>20</v>
      </c>
      <c r="D346" t="s">
        <v>20</v>
      </c>
      <c r="E346" t="s">
        <v>27</v>
      </c>
      <c r="F346">
        <v>1</v>
      </c>
    </row>
    <row r="347" spans="1:6" x14ac:dyDescent="0.3">
      <c r="A347" t="s">
        <v>228</v>
      </c>
      <c r="B347" t="s">
        <v>14</v>
      </c>
      <c r="C347">
        <v>32</v>
      </c>
      <c r="D347" t="s">
        <v>20</v>
      </c>
      <c r="E347" t="s">
        <v>27</v>
      </c>
      <c r="F347">
        <v>10</v>
      </c>
    </row>
    <row r="348" spans="1:6" x14ac:dyDescent="0.3">
      <c r="A348" t="s">
        <v>153</v>
      </c>
      <c r="B348" t="s">
        <v>29</v>
      </c>
      <c r="C348">
        <v>28</v>
      </c>
      <c r="D348" t="s">
        <v>20</v>
      </c>
      <c r="E348" t="s">
        <v>27</v>
      </c>
      <c r="F348">
        <v>16</v>
      </c>
    </row>
    <row r="349" spans="1:6" x14ac:dyDescent="0.3">
      <c r="A349" t="s">
        <v>338</v>
      </c>
      <c r="B349" t="s">
        <v>25</v>
      </c>
      <c r="C349">
        <v>30</v>
      </c>
      <c r="D349" t="s">
        <v>20</v>
      </c>
      <c r="E349" t="s">
        <v>23</v>
      </c>
      <c r="F349">
        <v>6</v>
      </c>
    </row>
    <row r="350" spans="1:6" x14ac:dyDescent="0.3">
      <c r="A350" t="s">
        <v>304</v>
      </c>
      <c r="B350" t="s">
        <v>7</v>
      </c>
      <c r="C350">
        <v>25</v>
      </c>
      <c r="D350" t="s">
        <v>20</v>
      </c>
      <c r="E350" t="s">
        <v>17</v>
      </c>
      <c r="F350">
        <v>7</v>
      </c>
    </row>
    <row r="351" spans="1:6" x14ac:dyDescent="0.3">
      <c r="A351" t="s">
        <v>450</v>
      </c>
      <c r="B351" t="s">
        <v>178</v>
      </c>
      <c r="C351">
        <v>28</v>
      </c>
      <c r="D351" t="s">
        <v>20</v>
      </c>
      <c r="E351" t="s">
        <v>27</v>
      </c>
      <c r="F351">
        <v>3</v>
      </c>
    </row>
    <row r="352" spans="1:6" x14ac:dyDescent="0.3">
      <c r="A352" t="s">
        <v>167</v>
      </c>
      <c r="B352" t="s">
        <v>31</v>
      </c>
      <c r="C352">
        <v>29</v>
      </c>
      <c r="D352" t="s">
        <v>20</v>
      </c>
      <c r="E352" t="s">
        <v>20</v>
      </c>
      <c r="F352">
        <v>14</v>
      </c>
    </row>
    <row r="353" spans="1:6" x14ac:dyDescent="0.3">
      <c r="A353" t="s">
        <v>475</v>
      </c>
      <c r="B353" t="s">
        <v>157</v>
      </c>
      <c r="C353">
        <v>25</v>
      </c>
      <c r="D353" t="s">
        <v>20</v>
      </c>
      <c r="E353" t="s">
        <v>27</v>
      </c>
      <c r="F353">
        <v>2</v>
      </c>
    </row>
    <row r="354" spans="1:6" x14ac:dyDescent="0.3">
      <c r="A354" t="s">
        <v>82</v>
      </c>
      <c r="B354" t="s">
        <v>31</v>
      </c>
      <c r="C354">
        <v>19</v>
      </c>
      <c r="D354" t="s">
        <v>20</v>
      </c>
      <c r="E354" t="s">
        <v>83</v>
      </c>
      <c r="F354">
        <v>29</v>
      </c>
    </row>
    <row r="355" spans="1:6" x14ac:dyDescent="0.3">
      <c r="A355" t="s">
        <v>272</v>
      </c>
      <c r="B355" t="s">
        <v>45</v>
      </c>
      <c r="C355">
        <v>38</v>
      </c>
      <c r="D355" t="s">
        <v>20</v>
      </c>
      <c r="E355" t="s">
        <v>27</v>
      </c>
      <c r="F355">
        <v>8</v>
      </c>
    </row>
    <row r="356" spans="1:6" x14ac:dyDescent="0.3">
      <c r="A356" t="s">
        <v>69</v>
      </c>
      <c r="B356" t="s">
        <v>29</v>
      </c>
      <c r="C356">
        <v>28</v>
      </c>
      <c r="D356" t="s">
        <v>20</v>
      </c>
      <c r="E356" t="s">
        <v>20</v>
      </c>
      <c r="F356">
        <v>34</v>
      </c>
    </row>
    <row r="357" spans="1:6" x14ac:dyDescent="0.3">
      <c r="A357" t="s">
        <v>22</v>
      </c>
      <c r="B357" t="s">
        <v>14</v>
      </c>
      <c r="C357">
        <v>30</v>
      </c>
      <c r="D357" t="s">
        <v>20</v>
      </c>
      <c r="E357" t="s">
        <v>23</v>
      </c>
      <c r="F357">
        <v>120</v>
      </c>
    </row>
    <row r="358" spans="1:6" x14ac:dyDescent="0.3">
      <c r="A358" t="s">
        <v>291</v>
      </c>
      <c r="B358" t="s">
        <v>74</v>
      </c>
      <c r="C358">
        <v>21</v>
      </c>
      <c r="D358" t="s">
        <v>20</v>
      </c>
      <c r="E358" t="s">
        <v>83</v>
      </c>
      <c r="F358">
        <v>7</v>
      </c>
    </row>
    <row r="359" spans="1:6" x14ac:dyDescent="0.3">
      <c r="A359" t="s">
        <v>419</v>
      </c>
      <c r="B359" t="s">
        <v>74</v>
      </c>
      <c r="C359">
        <v>35</v>
      </c>
      <c r="D359" t="s">
        <v>20</v>
      </c>
      <c r="E359" t="s">
        <v>83</v>
      </c>
      <c r="F359">
        <v>4</v>
      </c>
    </row>
    <row r="360" spans="1:6" x14ac:dyDescent="0.3">
      <c r="A360" t="s">
        <v>290</v>
      </c>
      <c r="B360" t="s">
        <v>19</v>
      </c>
      <c r="C360">
        <v>32</v>
      </c>
      <c r="D360" t="s">
        <v>20</v>
      </c>
      <c r="E360" t="s">
        <v>27</v>
      </c>
      <c r="F360">
        <v>7</v>
      </c>
    </row>
    <row r="361" spans="1:6" x14ac:dyDescent="0.3">
      <c r="A361" t="s">
        <v>330</v>
      </c>
      <c r="B361" t="s">
        <v>42</v>
      </c>
      <c r="C361">
        <v>20</v>
      </c>
      <c r="D361" t="s">
        <v>20</v>
      </c>
      <c r="E361" t="s">
        <v>27</v>
      </c>
      <c r="F361">
        <v>6</v>
      </c>
    </row>
    <row r="362" spans="1:6" x14ac:dyDescent="0.3">
      <c r="A362" t="s">
        <v>334</v>
      </c>
      <c r="B362" t="s">
        <v>29</v>
      </c>
      <c r="C362">
        <v>23</v>
      </c>
      <c r="D362" t="s">
        <v>20</v>
      </c>
      <c r="E362" t="s">
        <v>23</v>
      </c>
      <c r="F362">
        <v>6</v>
      </c>
    </row>
    <row r="363" spans="1:6" x14ac:dyDescent="0.3">
      <c r="A363" t="s">
        <v>229</v>
      </c>
      <c r="B363" t="s">
        <v>7</v>
      </c>
      <c r="C363">
        <v>37</v>
      </c>
      <c r="D363" t="s">
        <v>20</v>
      </c>
      <c r="E363" t="s">
        <v>20</v>
      </c>
      <c r="F363">
        <v>10</v>
      </c>
    </row>
    <row r="364" spans="1:6" x14ac:dyDescent="0.3">
      <c r="A364" t="s">
        <v>99</v>
      </c>
      <c r="B364" t="s">
        <v>25</v>
      </c>
      <c r="C364">
        <v>41</v>
      </c>
      <c r="D364" t="s">
        <v>20</v>
      </c>
      <c r="E364" t="s">
        <v>27</v>
      </c>
      <c r="F364">
        <v>25</v>
      </c>
    </row>
    <row r="365" spans="1:6" x14ac:dyDescent="0.3">
      <c r="A365" t="s">
        <v>47</v>
      </c>
      <c r="B365" t="s">
        <v>11</v>
      </c>
      <c r="C365">
        <v>19</v>
      </c>
      <c r="D365" t="s">
        <v>20</v>
      </c>
      <c r="E365" t="s">
        <v>48</v>
      </c>
      <c r="F365">
        <v>51</v>
      </c>
    </row>
    <row r="366" spans="1:6" x14ac:dyDescent="0.3">
      <c r="A366" t="s">
        <v>95</v>
      </c>
      <c r="B366" t="s">
        <v>25</v>
      </c>
      <c r="C366">
        <v>22</v>
      </c>
      <c r="D366" t="s">
        <v>20</v>
      </c>
      <c r="E366" t="s">
        <v>96</v>
      </c>
      <c r="F366">
        <v>26</v>
      </c>
    </row>
    <row r="367" spans="1:6" x14ac:dyDescent="0.3">
      <c r="A367" t="s">
        <v>383</v>
      </c>
      <c r="B367" t="s">
        <v>33</v>
      </c>
      <c r="C367">
        <v>28</v>
      </c>
      <c r="D367" t="s">
        <v>20</v>
      </c>
      <c r="E367" t="s">
        <v>27</v>
      </c>
      <c r="F367">
        <v>5</v>
      </c>
    </row>
    <row r="368" spans="1:6" x14ac:dyDescent="0.3">
      <c r="A368" t="s">
        <v>451</v>
      </c>
      <c r="B368" t="s">
        <v>25</v>
      </c>
      <c r="C368">
        <v>24</v>
      </c>
      <c r="D368" t="s">
        <v>20</v>
      </c>
      <c r="E368" t="s">
        <v>452</v>
      </c>
      <c r="F368">
        <v>3</v>
      </c>
    </row>
    <row r="369" spans="1:6" x14ac:dyDescent="0.3">
      <c r="A369" t="s">
        <v>184</v>
      </c>
      <c r="B369" t="s">
        <v>31</v>
      </c>
      <c r="C369">
        <v>22</v>
      </c>
      <c r="D369" t="s">
        <v>20</v>
      </c>
      <c r="E369" t="s">
        <v>20</v>
      </c>
      <c r="F369">
        <v>13</v>
      </c>
    </row>
    <row r="370" spans="1:6" x14ac:dyDescent="0.3">
      <c r="A370" t="s">
        <v>327</v>
      </c>
      <c r="B370" t="s">
        <v>178</v>
      </c>
      <c r="C370">
        <v>22</v>
      </c>
      <c r="D370" t="s">
        <v>20</v>
      </c>
      <c r="E370" t="s">
        <v>27</v>
      </c>
      <c r="F370">
        <v>6</v>
      </c>
    </row>
    <row r="371" spans="1:6" x14ac:dyDescent="0.3">
      <c r="A371" t="s">
        <v>248</v>
      </c>
      <c r="B371" t="s">
        <v>115</v>
      </c>
      <c r="C371">
        <v>26</v>
      </c>
      <c r="D371" t="s">
        <v>20</v>
      </c>
      <c r="E371" t="s">
        <v>27</v>
      </c>
      <c r="F371">
        <v>9</v>
      </c>
    </row>
    <row r="372" spans="1:6" x14ac:dyDescent="0.3">
      <c r="A372" t="s">
        <v>333</v>
      </c>
      <c r="B372" t="s">
        <v>64</v>
      </c>
      <c r="C372">
        <v>21</v>
      </c>
      <c r="D372" t="s">
        <v>20</v>
      </c>
      <c r="E372" t="s">
        <v>34</v>
      </c>
      <c r="F372">
        <v>6</v>
      </c>
    </row>
    <row r="373" spans="1:6" x14ac:dyDescent="0.3">
      <c r="A373" t="s">
        <v>211</v>
      </c>
      <c r="B373" t="s">
        <v>33</v>
      </c>
      <c r="C373">
        <v>27</v>
      </c>
      <c r="D373" t="s">
        <v>20</v>
      </c>
      <c r="E373" t="s">
        <v>48</v>
      </c>
      <c r="F373">
        <v>11</v>
      </c>
    </row>
    <row r="374" spans="1:6" x14ac:dyDescent="0.3">
      <c r="A374" t="s">
        <v>443</v>
      </c>
      <c r="B374" t="s">
        <v>115</v>
      </c>
      <c r="C374">
        <v>22</v>
      </c>
      <c r="D374" t="s">
        <v>20</v>
      </c>
      <c r="E374" t="s">
        <v>27</v>
      </c>
      <c r="F374">
        <v>3</v>
      </c>
    </row>
    <row r="375" spans="1:6" x14ac:dyDescent="0.3">
      <c r="A375" t="s">
        <v>165</v>
      </c>
      <c r="B375" t="s">
        <v>64</v>
      </c>
      <c r="C375">
        <v>24</v>
      </c>
      <c r="D375" t="s">
        <v>20</v>
      </c>
      <c r="E375" t="s">
        <v>83</v>
      </c>
      <c r="F375">
        <v>14</v>
      </c>
    </row>
    <row r="376" spans="1:6" x14ac:dyDescent="0.3">
      <c r="A376" t="s">
        <v>32</v>
      </c>
      <c r="B376" t="s">
        <v>33</v>
      </c>
      <c r="C376">
        <v>29</v>
      </c>
      <c r="D376" t="s">
        <v>20</v>
      </c>
      <c r="E376" t="s">
        <v>34</v>
      </c>
      <c r="F376">
        <v>100</v>
      </c>
    </row>
    <row r="377" spans="1:6" x14ac:dyDescent="0.3">
      <c r="A377" t="s">
        <v>220</v>
      </c>
      <c r="B377" t="s">
        <v>31</v>
      </c>
      <c r="C377">
        <v>20</v>
      </c>
      <c r="D377" t="s">
        <v>20</v>
      </c>
      <c r="E377" t="s">
        <v>27</v>
      </c>
      <c r="F377">
        <v>10</v>
      </c>
    </row>
    <row r="378" spans="1:6" x14ac:dyDescent="0.3">
      <c r="A378" t="s">
        <v>152</v>
      </c>
      <c r="B378" t="s">
        <v>39</v>
      </c>
      <c r="C378">
        <v>31</v>
      </c>
      <c r="D378" t="s">
        <v>20</v>
      </c>
      <c r="E378" t="s">
        <v>23</v>
      </c>
      <c r="F378">
        <v>16</v>
      </c>
    </row>
    <row r="379" spans="1:6" x14ac:dyDescent="0.3">
      <c r="A379" t="s">
        <v>18</v>
      </c>
      <c r="B379" t="s">
        <v>19</v>
      </c>
      <c r="C379">
        <v>22</v>
      </c>
      <c r="D379" t="s">
        <v>20</v>
      </c>
      <c r="E379" t="s">
        <v>21</v>
      </c>
      <c r="F379">
        <v>125</v>
      </c>
    </row>
    <row r="380" spans="1:6" x14ac:dyDescent="0.3">
      <c r="A380" t="s">
        <v>168</v>
      </c>
      <c r="B380" t="s">
        <v>11</v>
      </c>
      <c r="C380">
        <v>30</v>
      </c>
      <c r="D380" t="s">
        <v>20</v>
      </c>
      <c r="E380" t="s">
        <v>23</v>
      </c>
      <c r="F380">
        <v>14</v>
      </c>
    </row>
    <row r="381" spans="1:6" x14ac:dyDescent="0.3">
      <c r="A381" t="s">
        <v>294</v>
      </c>
      <c r="B381" t="s">
        <v>94</v>
      </c>
      <c r="C381">
        <v>29</v>
      </c>
      <c r="D381" t="s">
        <v>20</v>
      </c>
      <c r="E381" t="s">
        <v>23</v>
      </c>
      <c r="F381">
        <v>7</v>
      </c>
    </row>
    <row r="382" spans="1:6" x14ac:dyDescent="0.3">
      <c r="A382" t="s">
        <v>136</v>
      </c>
      <c r="B382" t="s">
        <v>19</v>
      </c>
      <c r="C382">
        <v>23</v>
      </c>
      <c r="D382" t="s">
        <v>20</v>
      </c>
      <c r="E382" t="s">
        <v>27</v>
      </c>
      <c r="F382">
        <v>19</v>
      </c>
    </row>
    <row r="383" spans="1:6" x14ac:dyDescent="0.3">
      <c r="A383" t="s">
        <v>271</v>
      </c>
      <c r="B383" t="s">
        <v>142</v>
      </c>
      <c r="C383">
        <v>29</v>
      </c>
      <c r="D383" t="s">
        <v>20</v>
      </c>
      <c r="E383" t="s">
        <v>27</v>
      </c>
      <c r="F383">
        <v>8</v>
      </c>
    </row>
    <row r="384" spans="1:6" x14ac:dyDescent="0.3">
      <c r="A384" t="s">
        <v>223</v>
      </c>
      <c r="B384" t="s">
        <v>178</v>
      </c>
      <c r="C384">
        <v>25</v>
      </c>
      <c r="D384" t="s">
        <v>20</v>
      </c>
      <c r="E384" t="s">
        <v>96</v>
      </c>
      <c r="F384">
        <v>10</v>
      </c>
    </row>
    <row r="385" spans="1:6" x14ac:dyDescent="0.3">
      <c r="A385" t="s">
        <v>263</v>
      </c>
      <c r="B385" t="s">
        <v>42</v>
      </c>
      <c r="C385">
        <v>29</v>
      </c>
      <c r="D385" t="s">
        <v>20</v>
      </c>
      <c r="E385" t="s">
        <v>27</v>
      </c>
      <c r="F385">
        <v>8</v>
      </c>
    </row>
    <row r="386" spans="1:6" x14ac:dyDescent="0.3">
      <c r="A386" t="s">
        <v>244</v>
      </c>
      <c r="B386" t="s">
        <v>11</v>
      </c>
      <c r="C386">
        <v>22</v>
      </c>
      <c r="D386" t="s">
        <v>20</v>
      </c>
      <c r="E386" t="s">
        <v>20</v>
      </c>
      <c r="F386">
        <v>9</v>
      </c>
    </row>
    <row r="387" spans="1:6" x14ac:dyDescent="0.3">
      <c r="A387" t="s">
        <v>305</v>
      </c>
      <c r="B387" t="s">
        <v>33</v>
      </c>
      <c r="C387">
        <v>27</v>
      </c>
      <c r="D387" t="s">
        <v>20</v>
      </c>
      <c r="E387" t="s">
        <v>27</v>
      </c>
      <c r="F387">
        <v>7</v>
      </c>
    </row>
    <row r="388" spans="1:6" x14ac:dyDescent="0.3">
      <c r="A388" t="s">
        <v>105</v>
      </c>
      <c r="B388" t="s">
        <v>14</v>
      </c>
      <c r="C388">
        <v>33</v>
      </c>
      <c r="D388" t="s">
        <v>20</v>
      </c>
      <c r="E388" t="s">
        <v>96</v>
      </c>
      <c r="F388">
        <v>24</v>
      </c>
    </row>
    <row r="389" spans="1:6" x14ac:dyDescent="0.3">
      <c r="A389" t="s">
        <v>414</v>
      </c>
      <c r="B389" t="s">
        <v>104</v>
      </c>
      <c r="C389">
        <v>23</v>
      </c>
      <c r="D389" t="s">
        <v>20</v>
      </c>
      <c r="E389" t="s">
        <v>27</v>
      </c>
      <c r="F389">
        <v>4</v>
      </c>
    </row>
    <row r="390" spans="1:6" x14ac:dyDescent="0.3">
      <c r="A390" t="s">
        <v>441</v>
      </c>
      <c r="B390" t="s">
        <v>55</v>
      </c>
      <c r="C390">
        <v>19</v>
      </c>
      <c r="D390" t="s">
        <v>20</v>
      </c>
      <c r="E390" t="s">
        <v>83</v>
      </c>
      <c r="F390">
        <v>3</v>
      </c>
    </row>
    <row r="391" spans="1:6" x14ac:dyDescent="0.3">
      <c r="A391" t="s">
        <v>36</v>
      </c>
      <c r="B391" t="s">
        <v>25</v>
      </c>
      <c r="C391">
        <v>28</v>
      </c>
      <c r="D391" t="s">
        <v>20</v>
      </c>
      <c r="E391" t="s">
        <v>21</v>
      </c>
      <c r="F391">
        <v>90</v>
      </c>
    </row>
    <row r="392" spans="1:6" x14ac:dyDescent="0.3">
      <c r="A392" t="s">
        <v>40</v>
      </c>
      <c r="B392" t="s">
        <v>25</v>
      </c>
      <c r="C392">
        <v>31</v>
      </c>
      <c r="D392" t="s">
        <v>20</v>
      </c>
      <c r="E392" t="s">
        <v>23</v>
      </c>
      <c r="F392">
        <v>64</v>
      </c>
    </row>
    <row r="393" spans="1:6" x14ac:dyDescent="0.3">
      <c r="A393" t="s">
        <v>335</v>
      </c>
      <c r="B393" t="s">
        <v>25</v>
      </c>
      <c r="C393">
        <v>25</v>
      </c>
      <c r="D393" t="s">
        <v>20</v>
      </c>
      <c r="E393" t="s">
        <v>27</v>
      </c>
      <c r="F393">
        <v>6</v>
      </c>
    </row>
    <row r="394" spans="1:6" x14ac:dyDescent="0.3">
      <c r="A394" t="s">
        <v>151</v>
      </c>
      <c r="B394" t="s">
        <v>19</v>
      </c>
      <c r="C394">
        <v>21</v>
      </c>
      <c r="D394" t="s">
        <v>20</v>
      </c>
      <c r="E394" t="s">
        <v>34</v>
      </c>
      <c r="F394">
        <v>16</v>
      </c>
    </row>
    <row r="395" spans="1:6" x14ac:dyDescent="0.3">
      <c r="A395" t="s">
        <v>328</v>
      </c>
      <c r="B395" t="s">
        <v>104</v>
      </c>
      <c r="C395">
        <v>20</v>
      </c>
      <c r="D395" t="s">
        <v>20</v>
      </c>
      <c r="E395" t="s">
        <v>27</v>
      </c>
      <c r="F395">
        <v>6</v>
      </c>
    </row>
    <row r="396" spans="1:6" x14ac:dyDescent="0.3">
      <c r="A396" t="s">
        <v>270</v>
      </c>
      <c r="B396" t="s">
        <v>55</v>
      </c>
      <c r="C396">
        <v>25</v>
      </c>
      <c r="D396" t="s">
        <v>20</v>
      </c>
      <c r="E396" t="s">
        <v>27</v>
      </c>
      <c r="F396">
        <v>8</v>
      </c>
    </row>
    <row r="397" spans="1:6" x14ac:dyDescent="0.3">
      <c r="A397" t="s">
        <v>133</v>
      </c>
      <c r="B397" t="s">
        <v>33</v>
      </c>
      <c r="C397">
        <v>23</v>
      </c>
      <c r="D397" t="s">
        <v>20</v>
      </c>
      <c r="E397" t="s">
        <v>83</v>
      </c>
      <c r="F397">
        <v>19</v>
      </c>
    </row>
    <row r="398" spans="1:6" x14ac:dyDescent="0.3">
      <c r="A398" t="s">
        <v>116</v>
      </c>
      <c r="B398" t="s">
        <v>25</v>
      </c>
      <c r="C398">
        <v>27</v>
      </c>
      <c r="D398" t="s">
        <v>20</v>
      </c>
      <c r="E398" t="s">
        <v>17</v>
      </c>
      <c r="F398">
        <v>22</v>
      </c>
    </row>
    <row r="399" spans="1:6" x14ac:dyDescent="0.3">
      <c r="A399" t="s">
        <v>123</v>
      </c>
      <c r="B399" t="s">
        <v>39</v>
      </c>
      <c r="C399">
        <v>24</v>
      </c>
      <c r="D399" t="s">
        <v>20</v>
      </c>
      <c r="E399" t="s">
        <v>23</v>
      </c>
      <c r="F399">
        <v>21</v>
      </c>
    </row>
    <row r="400" spans="1:6" x14ac:dyDescent="0.3">
      <c r="A400" t="s">
        <v>158</v>
      </c>
      <c r="B400" t="s">
        <v>157</v>
      </c>
      <c r="C400">
        <v>26</v>
      </c>
      <c r="D400" t="s">
        <v>20</v>
      </c>
      <c r="E400" t="s">
        <v>83</v>
      </c>
      <c r="F400">
        <v>15</v>
      </c>
    </row>
    <row r="401" spans="1:6" x14ac:dyDescent="0.3">
      <c r="A401" t="s">
        <v>303</v>
      </c>
      <c r="B401" t="s">
        <v>94</v>
      </c>
      <c r="C401">
        <v>25</v>
      </c>
      <c r="D401" t="s">
        <v>20</v>
      </c>
      <c r="E401" t="s">
        <v>20</v>
      </c>
      <c r="F401">
        <v>7</v>
      </c>
    </row>
    <row r="402" spans="1:6" x14ac:dyDescent="0.3">
      <c r="A402" t="s">
        <v>329</v>
      </c>
      <c r="B402" t="s">
        <v>115</v>
      </c>
      <c r="C402">
        <v>24</v>
      </c>
      <c r="D402" t="s">
        <v>20</v>
      </c>
      <c r="E402" t="s">
        <v>20</v>
      </c>
      <c r="F402">
        <v>6</v>
      </c>
    </row>
    <row r="403" spans="1:6" x14ac:dyDescent="0.3">
      <c r="A403" t="s">
        <v>299</v>
      </c>
      <c r="B403" t="s">
        <v>74</v>
      </c>
      <c r="C403">
        <v>29</v>
      </c>
      <c r="D403" t="s">
        <v>20</v>
      </c>
      <c r="E403" t="s">
        <v>27</v>
      </c>
      <c r="F403">
        <v>7</v>
      </c>
    </row>
    <row r="404" spans="1:6" x14ac:dyDescent="0.3">
      <c r="A404" t="s">
        <v>381</v>
      </c>
      <c r="B404" t="s">
        <v>7</v>
      </c>
      <c r="C404">
        <v>21</v>
      </c>
      <c r="D404" t="s">
        <v>20</v>
      </c>
      <c r="E404" t="s">
        <v>27</v>
      </c>
      <c r="F404">
        <v>5</v>
      </c>
    </row>
    <row r="405" spans="1:6" x14ac:dyDescent="0.3">
      <c r="A405" t="s">
        <v>182</v>
      </c>
      <c r="B405" t="s">
        <v>7</v>
      </c>
      <c r="C405">
        <v>23</v>
      </c>
      <c r="D405" t="s">
        <v>20</v>
      </c>
      <c r="E405" t="s">
        <v>20</v>
      </c>
      <c r="F405">
        <v>13</v>
      </c>
    </row>
    <row r="406" spans="1:6" x14ac:dyDescent="0.3">
      <c r="A406" t="s">
        <v>417</v>
      </c>
      <c r="B406" t="s">
        <v>39</v>
      </c>
      <c r="C406">
        <v>23</v>
      </c>
      <c r="D406" t="s">
        <v>20</v>
      </c>
      <c r="E406" t="s">
        <v>27</v>
      </c>
      <c r="F406">
        <v>4</v>
      </c>
    </row>
    <row r="407" spans="1:6" x14ac:dyDescent="0.3">
      <c r="A407" t="s">
        <v>75</v>
      </c>
      <c r="B407" t="s">
        <v>55</v>
      </c>
      <c r="C407">
        <v>24</v>
      </c>
      <c r="D407" t="s">
        <v>20</v>
      </c>
      <c r="E407" t="s">
        <v>23</v>
      </c>
      <c r="F407">
        <v>32</v>
      </c>
    </row>
    <row r="408" spans="1:6" x14ac:dyDescent="0.3">
      <c r="A408" t="s">
        <v>120</v>
      </c>
      <c r="B408" t="s">
        <v>45</v>
      </c>
      <c r="C408">
        <v>27</v>
      </c>
      <c r="D408" t="s">
        <v>20</v>
      </c>
      <c r="E408" t="s">
        <v>23</v>
      </c>
      <c r="F408">
        <v>21</v>
      </c>
    </row>
    <row r="409" spans="1:6" x14ac:dyDescent="0.3">
      <c r="A409" t="s">
        <v>122</v>
      </c>
      <c r="B409" t="s">
        <v>29</v>
      </c>
      <c r="C409">
        <v>25</v>
      </c>
      <c r="D409" t="s">
        <v>20</v>
      </c>
      <c r="E409" t="s">
        <v>20</v>
      </c>
      <c r="F409">
        <v>21</v>
      </c>
    </row>
    <row r="410" spans="1:6" x14ac:dyDescent="0.3">
      <c r="A410" t="s">
        <v>264</v>
      </c>
      <c r="B410" t="s">
        <v>142</v>
      </c>
      <c r="C410">
        <v>28</v>
      </c>
      <c r="D410" t="s">
        <v>20</v>
      </c>
      <c r="E410" t="s">
        <v>265</v>
      </c>
      <c r="F410">
        <v>8</v>
      </c>
    </row>
    <row r="411" spans="1:6" x14ac:dyDescent="0.3">
      <c r="A411" t="s">
        <v>339</v>
      </c>
      <c r="B411" t="s">
        <v>74</v>
      </c>
      <c r="C411">
        <v>26</v>
      </c>
      <c r="D411" t="s">
        <v>20</v>
      </c>
      <c r="E411" t="s">
        <v>83</v>
      </c>
      <c r="F411">
        <v>6</v>
      </c>
    </row>
    <row r="412" spans="1:6" x14ac:dyDescent="0.3">
      <c r="A412" t="s">
        <v>194</v>
      </c>
      <c r="B412" t="s">
        <v>42</v>
      </c>
      <c r="C412">
        <v>23</v>
      </c>
      <c r="D412" t="s">
        <v>20</v>
      </c>
      <c r="E412" t="s">
        <v>48</v>
      </c>
      <c r="F412">
        <v>12</v>
      </c>
    </row>
    <row r="413" spans="1:6" x14ac:dyDescent="0.3">
      <c r="A413" t="s">
        <v>444</v>
      </c>
      <c r="B413" t="s">
        <v>74</v>
      </c>
      <c r="C413">
        <v>20</v>
      </c>
      <c r="D413" t="s">
        <v>20</v>
      </c>
      <c r="E413" t="s">
        <v>96</v>
      </c>
      <c r="F413">
        <v>3</v>
      </c>
    </row>
    <row r="414" spans="1:6" x14ac:dyDescent="0.3">
      <c r="A414" t="s">
        <v>143</v>
      </c>
      <c r="B414" t="s">
        <v>14</v>
      </c>
      <c r="C414">
        <v>23</v>
      </c>
      <c r="D414" t="s">
        <v>20</v>
      </c>
      <c r="E414" t="s">
        <v>83</v>
      </c>
      <c r="F414">
        <v>17</v>
      </c>
    </row>
    <row r="415" spans="1:6" x14ac:dyDescent="0.3">
      <c r="A415" t="s">
        <v>65</v>
      </c>
      <c r="B415" t="s">
        <v>64</v>
      </c>
      <c r="C415">
        <v>29</v>
      </c>
      <c r="D415" t="s">
        <v>20</v>
      </c>
      <c r="E415" t="s">
        <v>48</v>
      </c>
      <c r="F415">
        <v>40</v>
      </c>
    </row>
    <row r="416" spans="1:6" x14ac:dyDescent="0.3">
      <c r="A416" t="s">
        <v>195</v>
      </c>
      <c r="B416" t="s">
        <v>45</v>
      </c>
      <c r="C416">
        <v>23</v>
      </c>
      <c r="D416" t="s">
        <v>20</v>
      </c>
      <c r="E416" t="s">
        <v>83</v>
      </c>
      <c r="F416">
        <v>12</v>
      </c>
    </row>
    <row r="417" spans="1:6" x14ac:dyDescent="0.3">
      <c r="A417" t="s">
        <v>307</v>
      </c>
      <c r="B417" t="s">
        <v>104</v>
      </c>
      <c r="C417">
        <v>30</v>
      </c>
      <c r="D417" t="s">
        <v>20</v>
      </c>
      <c r="E417" t="s">
        <v>27</v>
      </c>
      <c r="F417">
        <v>7</v>
      </c>
    </row>
    <row r="418" spans="1:6" x14ac:dyDescent="0.3">
      <c r="A418" t="s">
        <v>54</v>
      </c>
      <c r="B418" t="s">
        <v>55</v>
      </c>
      <c r="C418">
        <v>31</v>
      </c>
      <c r="D418" t="s">
        <v>20</v>
      </c>
      <c r="E418" t="s">
        <v>34</v>
      </c>
      <c r="F418">
        <v>46</v>
      </c>
    </row>
    <row r="419" spans="1:6" x14ac:dyDescent="0.3">
      <c r="A419" t="s">
        <v>210</v>
      </c>
      <c r="B419" t="s">
        <v>39</v>
      </c>
      <c r="C419">
        <v>24</v>
      </c>
      <c r="D419" t="s">
        <v>20</v>
      </c>
      <c r="E419" t="s">
        <v>96</v>
      </c>
      <c r="F419">
        <v>11</v>
      </c>
    </row>
    <row r="420" spans="1:6" x14ac:dyDescent="0.3">
      <c r="A420" t="s">
        <v>92</v>
      </c>
      <c r="B420" t="s">
        <v>14</v>
      </c>
      <c r="C420">
        <v>31</v>
      </c>
      <c r="D420" t="s">
        <v>20</v>
      </c>
      <c r="E420" t="s">
        <v>20</v>
      </c>
      <c r="F420">
        <v>27</v>
      </c>
    </row>
    <row r="421" spans="1:6" x14ac:dyDescent="0.3">
      <c r="A421" t="s">
        <v>50</v>
      </c>
      <c r="B421" t="s">
        <v>42</v>
      </c>
      <c r="C421">
        <v>27</v>
      </c>
      <c r="D421" t="s">
        <v>20</v>
      </c>
      <c r="E421" t="s">
        <v>21</v>
      </c>
      <c r="F421">
        <v>50</v>
      </c>
    </row>
    <row r="422" spans="1:6" x14ac:dyDescent="0.3">
      <c r="A422" t="s">
        <v>479</v>
      </c>
      <c r="B422" t="s">
        <v>42</v>
      </c>
      <c r="C422">
        <v>27</v>
      </c>
      <c r="D422" t="s">
        <v>20</v>
      </c>
      <c r="E422" t="s">
        <v>27</v>
      </c>
      <c r="F422">
        <v>2</v>
      </c>
    </row>
    <row r="423" spans="1:6" x14ac:dyDescent="0.3">
      <c r="A423" t="s">
        <v>298</v>
      </c>
      <c r="B423" t="s">
        <v>157</v>
      </c>
      <c r="C423">
        <v>27</v>
      </c>
      <c r="D423" t="s">
        <v>20</v>
      </c>
      <c r="E423" t="s">
        <v>96</v>
      </c>
      <c r="F423">
        <v>7</v>
      </c>
    </row>
    <row r="424" spans="1:6" x14ac:dyDescent="0.3">
      <c r="A424" t="s">
        <v>247</v>
      </c>
      <c r="B424" t="s">
        <v>29</v>
      </c>
      <c r="C424">
        <v>27</v>
      </c>
      <c r="D424" t="s">
        <v>20</v>
      </c>
      <c r="E424" t="s">
        <v>96</v>
      </c>
      <c r="F424">
        <v>9</v>
      </c>
    </row>
    <row r="425" spans="1:6" x14ac:dyDescent="0.3">
      <c r="A425" t="s">
        <v>124</v>
      </c>
      <c r="B425" t="s">
        <v>7</v>
      </c>
      <c r="C425">
        <v>32</v>
      </c>
      <c r="D425" t="s">
        <v>20</v>
      </c>
      <c r="E425" t="s">
        <v>20</v>
      </c>
      <c r="F425">
        <v>21</v>
      </c>
    </row>
    <row r="426" spans="1:6" x14ac:dyDescent="0.3">
      <c r="A426" t="s">
        <v>93</v>
      </c>
      <c r="B426" t="s">
        <v>94</v>
      </c>
      <c r="C426">
        <v>26</v>
      </c>
      <c r="D426" t="s">
        <v>8</v>
      </c>
      <c r="E426" t="s">
        <v>9</v>
      </c>
      <c r="F426">
        <v>26</v>
      </c>
    </row>
    <row r="427" spans="1:6" x14ac:dyDescent="0.3">
      <c r="A427" t="s">
        <v>148</v>
      </c>
      <c r="B427" t="s">
        <v>64</v>
      </c>
      <c r="C427">
        <v>30</v>
      </c>
      <c r="D427" t="s">
        <v>8</v>
      </c>
      <c r="E427" t="s">
        <v>8</v>
      </c>
      <c r="F427">
        <v>16</v>
      </c>
    </row>
    <row r="428" spans="1:6" x14ac:dyDescent="0.3">
      <c r="A428" t="s">
        <v>286</v>
      </c>
      <c r="B428" t="s">
        <v>94</v>
      </c>
      <c r="C428">
        <v>26</v>
      </c>
      <c r="D428" t="s">
        <v>8</v>
      </c>
      <c r="E428" t="s">
        <v>9</v>
      </c>
      <c r="F428">
        <v>7</v>
      </c>
    </row>
    <row r="429" spans="1:6" x14ac:dyDescent="0.3">
      <c r="A429" t="s">
        <v>506</v>
      </c>
      <c r="B429" t="s">
        <v>104</v>
      </c>
      <c r="C429">
        <v>21</v>
      </c>
      <c r="D429" t="s">
        <v>8</v>
      </c>
      <c r="E429" t="s">
        <v>8</v>
      </c>
      <c r="F429">
        <v>1</v>
      </c>
    </row>
    <row r="430" spans="1:6" x14ac:dyDescent="0.3">
      <c r="A430" t="s">
        <v>509</v>
      </c>
      <c r="B430" t="s">
        <v>19</v>
      </c>
      <c r="C430">
        <v>24</v>
      </c>
      <c r="D430" t="s">
        <v>8</v>
      </c>
      <c r="E430" t="s">
        <v>9</v>
      </c>
      <c r="F430">
        <v>1</v>
      </c>
    </row>
    <row r="431" spans="1:6" x14ac:dyDescent="0.3">
      <c r="A431" t="s">
        <v>469</v>
      </c>
      <c r="B431" t="s">
        <v>42</v>
      </c>
      <c r="C431">
        <v>29</v>
      </c>
      <c r="D431" t="s">
        <v>8</v>
      </c>
      <c r="E431" t="s">
        <v>9</v>
      </c>
      <c r="F431">
        <v>2</v>
      </c>
    </row>
    <row r="432" spans="1:6" x14ac:dyDescent="0.3">
      <c r="A432" t="s">
        <v>44</v>
      </c>
      <c r="B432" t="s">
        <v>45</v>
      </c>
      <c r="C432">
        <v>32</v>
      </c>
      <c r="D432" t="s">
        <v>8</v>
      </c>
      <c r="E432" t="s">
        <v>8</v>
      </c>
      <c r="F432">
        <v>58</v>
      </c>
    </row>
    <row r="433" spans="1:6" x14ac:dyDescent="0.3">
      <c r="A433" t="s">
        <v>180</v>
      </c>
      <c r="B433" t="s">
        <v>29</v>
      </c>
      <c r="C433">
        <v>29</v>
      </c>
      <c r="D433" t="s">
        <v>8</v>
      </c>
      <c r="E433" t="s">
        <v>34</v>
      </c>
      <c r="F433">
        <v>13</v>
      </c>
    </row>
    <row r="434" spans="1:6" x14ac:dyDescent="0.3">
      <c r="A434" t="s">
        <v>207</v>
      </c>
      <c r="B434" t="s">
        <v>7</v>
      </c>
      <c r="C434">
        <v>23</v>
      </c>
      <c r="D434" t="s">
        <v>8</v>
      </c>
      <c r="E434" t="s">
        <v>9</v>
      </c>
      <c r="F434">
        <v>11</v>
      </c>
    </row>
    <row r="435" spans="1:6" x14ac:dyDescent="0.3">
      <c r="A435" t="s">
        <v>375</v>
      </c>
      <c r="B435" t="s">
        <v>104</v>
      </c>
      <c r="C435">
        <v>26</v>
      </c>
      <c r="D435" t="s">
        <v>8</v>
      </c>
      <c r="E435" t="s">
        <v>9</v>
      </c>
      <c r="F435">
        <v>5</v>
      </c>
    </row>
    <row r="436" spans="1:6" x14ac:dyDescent="0.3">
      <c r="A436" t="s">
        <v>126</v>
      </c>
      <c r="B436" t="s">
        <v>45</v>
      </c>
      <c r="C436">
        <v>24</v>
      </c>
      <c r="D436" t="s">
        <v>8</v>
      </c>
      <c r="E436" t="s">
        <v>9</v>
      </c>
      <c r="F436">
        <v>20</v>
      </c>
    </row>
    <row r="437" spans="1:6" x14ac:dyDescent="0.3">
      <c r="A437" t="s">
        <v>468</v>
      </c>
      <c r="B437" t="s">
        <v>42</v>
      </c>
      <c r="C437">
        <v>30</v>
      </c>
      <c r="D437" t="s">
        <v>8</v>
      </c>
      <c r="E437" t="s">
        <v>9</v>
      </c>
      <c r="F437">
        <v>2</v>
      </c>
    </row>
    <row r="438" spans="1:6" x14ac:dyDescent="0.3">
      <c r="A438" t="s">
        <v>218</v>
      </c>
      <c r="B438" t="s">
        <v>25</v>
      </c>
      <c r="C438">
        <v>18</v>
      </c>
      <c r="D438" t="s">
        <v>8</v>
      </c>
      <c r="E438" t="s">
        <v>9</v>
      </c>
      <c r="F438">
        <v>10</v>
      </c>
    </row>
    <row r="439" spans="1:6" x14ac:dyDescent="0.3">
      <c r="A439" t="s">
        <v>62</v>
      </c>
      <c r="B439" t="s">
        <v>11</v>
      </c>
      <c r="C439">
        <v>22</v>
      </c>
      <c r="D439" t="s">
        <v>8</v>
      </c>
      <c r="E439" t="s">
        <v>9</v>
      </c>
      <c r="F439">
        <v>41</v>
      </c>
    </row>
    <row r="440" spans="1:6" x14ac:dyDescent="0.3">
      <c r="A440" t="s">
        <v>73</v>
      </c>
      <c r="B440" t="s">
        <v>74</v>
      </c>
      <c r="C440">
        <v>24</v>
      </c>
      <c r="D440" t="s">
        <v>8</v>
      </c>
      <c r="E440" t="s">
        <v>9</v>
      </c>
      <c r="F440">
        <v>32</v>
      </c>
    </row>
    <row r="441" spans="1:6" x14ac:dyDescent="0.3">
      <c r="A441" t="s">
        <v>141</v>
      </c>
      <c r="B441" t="s">
        <v>142</v>
      </c>
      <c r="C441">
        <v>28</v>
      </c>
      <c r="D441" t="s">
        <v>8</v>
      </c>
      <c r="E441" t="s">
        <v>9</v>
      </c>
      <c r="F441">
        <v>17</v>
      </c>
    </row>
    <row r="442" spans="1:6" x14ac:dyDescent="0.3">
      <c r="A442" t="s">
        <v>127</v>
      </c>
      <c r="B442" t="s">
        <v>29</v>
      </c>
      <c r="C442">
        <v>26</v>
      </c>
      <c r="D442" t="s">
        <v>8</v>
      </c>
      <c r="E442" t="s">
        <v>9</v>
      </c>
      <c r="F442">
        <v>20</v>
      </c>
    </row>
    <row r="443" spans="1:6" x14ac:dyDescent="0.3">
      <c r="A443" t="s">
        <v>41</v>
      </c>
      <c r="B443" t="s">
        <v>42</v>
      </c>
      <c r="C443">
        <v>28</v>
      </c>
      <c r="D443" t="s">
        <v>8</v>
      </c>
      <c r="E443" t="s">
        <v>9</v>
      </c>
      <c r="F443">
        <v>61</v>
      </c>
    </row>
    <row r="444" spans="1:6" x14ac:dyDescent="0.3">
      <c r="A444" t="s">
        <v>46</v>
      </c>
      <c r="B444" t="s">
        <v>39</v>
      </c>
      <c r="C444">
        <v>25</v>
      </c>
      <c r="D444" t="s">
        <v>8</v>
      </c>
      <c r="E444" t="s">
        <v>8</v>
      </c>
      <c r="F444">
        <v>53</v>
      </c>
    </row>
    <row r="445" spans="1:6" x14ac:dyDescent="0.3">
      <c r="A445" t="s">
        <v>503</v>
      </c>
      <c r="B445" t="s">
        <v>115</v>
      </c>
      <c r="C445">
        <v>18</v>
      </c>
      <c r="D445" t="s">
        <v>8</v>
      </c>
      <c r="E445" t="s">
        <v>9</v>
      </c>
      <c r="F445">
        <v>1</v>
      </c>
    </row>
    <row r="446" spans="1:6" x14ac:dyDescent="0.3">
      <c r="A446" t="s">
        <v>149</v>
      </c>
      <c r="B446" t="s">
        <v>55</v>
      </c>
      <c r="C446">
        <v>30</v>
      </c>
      <c r="D446" t="s">
        <v>8</v>
      </c>
      <c r="E446" t="s">
        <v>8</v>
      </c>
      <c r="F446">
        <v>16</v>
      </c>
    </row>
    <row r="447" spans="1:6" x14ac:dyDescent="0.3">
      <c r="A447" t="s">
        <v>98</v>
      </c>
      <c r="B447" t="s">
        <v>19</v>
      </c>
      <c r="C447">
        <v>21</v>
      </c>
      <c r="D447" t="s">
        <v>8</v>
      </c>
      <c r="E447" t="s">
        <v>34</v>
      </c>
      <c r="F447">
        <v>25</v>
      </c>
    </row>
    <row r="448" spans="1:6" x14ac:dyDescent="0.3">
      <c r="A448" t="s">
        <v>37</v>
      </c>
      <c r="B448" t="s">
        <v>19</v>
      </c>
      <c r="C448">
        <v>27</v>
      </c>
      <c r="D448" t="s">
        <v>8</v>
      </c>
      <c r="E448" t="s">
        <v>9</v>
      </c>
      <c r="F448">
        <v>79</v>
      </c>
    </row>
    <row r="449" spans="1:6" x14ac:dyDescent="0.3">
      <c r="A449" t="s">
        <v>67</v>
      </c>
      <c r="B449" t="s">
        <v>33</v>
      </c>
      <c r="C449">
        <v>29</v>
      </c>
      <c r="D449" t="s">
        <v>8</v>
      </c>
      <c r="E449" t="s">
        <v>9</v>
      </c>
      <c r="F449">
        <v>37</v>
      </c>
    </row>
    <row r="450" spans="1:6" x14ac:dyDescent="0.3">
      <c r="A450" t="s">
        <v>68</v>
      </c>
      <c r="B450" t="s">
        <v>11</v>
      </c>
      <c r="C450">
        <v>33</v>
      </c>
      <c r="D450" t="s">
        <v>8</v>
      </c>
      <c r="E450" t="s">
        <v>8</v>
      </c>
      <c r="F450">
        <v>34</v>
      </c>
    </row>
    <row r="451" spans="1:6" x14ac:dyDescent="0.3">
      <c r="A451" t="s">
        <v>374</v>
      </c>
      <c r="B451" t="s">
        <v>29</v>
      </c>
      <c r="C451">
        <v>20</v>
      </c>
      <c r="D451" t="s">
        <v>8</v>
      </c>
      <c r="E451" t="s">
        <v>8</v>
      </c>
      <c r="F451">
        <v>5</v>
      </c>
    </row>
    <row r="452" spans="1:6" x14ac:dyDescent="0.3">
      <c r="A452" t="s">
        <v>321</v>
      </c>
      <c r="B452" t="s">
        <v>115</v>
      </c>
      <c r="C452">
        <v>25</v>
      </c>
      <c r="D452" t="s">
        <v>8</v>
      </c>
      <c r="E452" t="s">
        <v>9</v>
      </c>
      <c r="F452">
        <v>6</v>
      </c>
    </row>
    <row r="453" spans="1:6" x14ac:dyDescent="0.3">
      <c r="A453" t="s">
        <v>53</v>
      </c>
      <c r="B453" t="s">
        <v>7</v>
      </c>
      <c r="C453">
        <v>21</v>
      </c>
      <c r="D453" t="s">
        <v>8</v>
      </c>
      <c r="E453" t="s">
        <v>9</v>
      </c>
      <c r="F453">
        <v>47</v>
      </c>
    </row>
    <row r="454" spans="1:6" x14ac:dyDescent="0.3">
      <c r="A454" t="s">
        <v>128</v>
      </c>
      <c r="B454" t="s">
        <v>104</v>
      </c>
      <c r="C454">
        <v>24</v>
      </c>
      <c r="D454" t="s">
        <v>8</v>
      </c>
      <c r="E454" t="s">
        <v>8</v>
      </c>
      <c r="F454">
        <v>20</v>
      </c>
    </row>
    <row r="455" spans="1:6" x14ac:dyDescent="0.3">
      <c r="A455" t="s">
        <v>284</v>
      </c>
      <c r="B455" t="s">
        <v>115</v>
      </c>
      <c r="C455">
        <v>23</v>
      </c>
      <c r="D455" t="s">
        <v>8</v>
      </c>
      <c r="E455" t="s">
        <v>8</v>
      </c>
      <c r="F455">
        <v>7</v>
      </c>
    </row>
    <row r="456" spans="1:6" x14ac:dyDescent="0.3">
      <c r="A456" t="s">
        <v>177</v>
      </c>
      <c r="B456" t="s">
        <v>178</v>
      </c>
      <c r="C456">
        <v>25</v>
      </c>
      <c r="D456" t="s">
        <v>8</v>
      </c>
      <c r="E456" t="s">
        <v>9</v>
      </c>
      <c r="F456">
        <v>13</v>
      </c>
    </row>
    <row r="457" spans="1:6" x14ac:dyDescent="0.3">
      <c r="A457" t="s">
        <v>156</v>
      </c>
      <c r="B457" t="s">
        <v>157</v>
      </c>
      <c r="C457">
        <v>24</v>
      </c>
      <c r="D457" t="s">
        <v>8</v>
      </c>
      <c r="E457" t="s">
        <v>34</v>
      </c>
      <c r="F457">
        <v>15</v>
      </c>
    </row>
    <row r="458" spans="1:6" x14ac:dyDescent="0.3">
      <c r="A458" t="s">
        <v>285</v>
      </c>
      <c r="B458" t="s">
        <v>25</v>
      </c>
      <c r="C458">
        <v>25</v>
      </c>
      <c r="D458" t="s">
        <v>8</v>
      </c>
      <c r="E458" t="s">
        <v>9</v>
      </c>
      <c r="F458">
        <v>7</v>
      </c>
    </row>
    <row r="459" spans="1:6" x14ac:dyDescent="0.3">
      <c r="A459" t="s">
        <v>371</v>
      </c>
      <c r="B459" t="s">
        <v>14</v>
      </c>
      <c r="C459">
        <v>23</v>
      </c>
      <c r="D459" t="s">
        <v>8</v>
      </c>
      <c r="E459" t="s">
        <v>8</v>
      </c>
      <c r="F459">
        <v>5</v>
      </c>
    </row>
    <row r="460" spans="1:6" x14ac:dyDescent="0.3">
      <c r="A460" t="s">
        <v>411</v>
      </c>
      <c r="B460" t="s">
        <v>42</v>
      </c>
      <c r="C460">
        <v>20</v>
      </c>
      <c r="D460" t="s">
        <v>8</v>
      </c>
      <c r="E460" t="s">
        <v>9</v>
      </c>
      <c r="F460">
        <v>4</v>
      </c>
    </row>
    <row r="461" spans="1:6" x14ac:dyDescent="0.3">
      <c r="A461" t="s">
        <v>368</v>
      </c>
      <c r="B461" t="s">
        <v>74</v>
      </c>
      <c r="C461">
        <v>23</v>
      </c>
      <c r="D461" t="s">
        <v>8</v>
      </c>
      <c r="E461" t="s">
        <v>9</v>
      </c>
      <c r="F461">
        <v>5</v>
      </c>
    </row>
    <row r="462" spans="1:6" x14ac:dyDescent="0.3">
      <c r="A462" t="s">
        <v>13</v>
      </c>
      <c r="B462" t="s">
        <v>14</v>
      </c>
      <c r="C462">
        <v>23</v>
      </c>
      <c r="D462" t="s">
        <v>8</v>
      </c>
      <c r="E462" t="s">
        <v>9</v>
      </c>
      <c r="F462">
        <v>136</v>
      </c>
    </row>
    <row r="463" spans="1:6" x14ac:dyDescent="0.3">
      <c r="A463" t="s">
        <v>30</v>
      </c>
      <c r="B463" t="s">
        <v>31</v>
      </c>
      <c r="C463">
        <v>26</v>
      </c>
      <c r="D463" t="s">
        <v>8</v>
      </c>
      <c r="E463" t="s">
        <v>9</v>
      </c>
      <c r="F463">
        <v>100</v>
      </c>
    </row>
    <row r="464" spans="1:6" x14ac:dyDescent="0.3">
      <c r="A464" t="s">
        <v>103</v>
      </c>
      <c r="B464" t="s">
        <v>104</v>
      </c>
      <c r="C464">
        <v>25</v>
      </c>
      <c r="D464" t="s">
        <v>8</v>
      </c>
      <c r="E464" t="s">
        <v>9</v>
      </c>
      <c r="F464">
        <v>24</v>
      </c>
    </row>
    <row r="465" spans="1:6" x14ac:dyDescent="0.3">
      <c r="A465" t="s">
        <v>28</v>
      </c>
      <c r="B465" t="s">
        <v>29</v>
      </c>
      <c r="C465">
        <v>28</v>
      </c>
      <c r="D465" t="s">
        <v>8</v>
      </c>
      <c r="E465" t="s">
        <v>9</v>
      </c>
      <c r="F465">
        <v>113</v>
      </c>
    </row>
    <row r="466" spans="1:6" x14ac:dyDescent="0.3">
      <c r="A466" t="s">
        <v>52</v>
      </c>
      <c r="B466" t="s">
        <v>39</v>
      </c>
      <c r="C466">
        <v>26</v>
      </c>
      <c r="D466" t="s">
        <v>8</v>
      </c>
      <c r="E466" t="s">
        <v>9</v>
      </c>
      <c r="F466">
        <v>48</v>
      </c>
    </row>
    <row r="467" spans="1:6" x14ac:dyDescent="0.3">
      <c r="A467" t="s">
        <v>438</v>
      </c>
      <c r="B467" t="s">
        <v>19</v>
      </c>
      <c r="C467">
        <v>26</v>
      </c>
      <c r="D467" t="s">
        <v>8</v>
      </c>
      <c r="E467" t="s">
        <v>34</v>
      </c>
      <c r="F467">
        <v>3</v>
      </c>
    </row>
    <row r="468" spans="1:6" x14ac:dyDescent="0.3">
      <c r="A468" t="s">
        <v>370</v>
      </c>
      <c r="B468" t="s">
        <v>64</v>
      </c>
      <c r="C468">
        <v>27</v>
      </c>
      <c r="D468" t="s">
        <v>8</v>
      </c>
      <c r="E468" t="s">
        <v>9</v>
      </c>
      <c r="F468">
        <v>5</v>
      </c>
    </row>
    <row r="469" spans="1:6" x14ac:dyDescent="0.3">
      <c r="A469" t="s">
        <v>261</v>
      </c>
      <c r="B469" t="s">
        <v>157</v>
      </c>
      <c r="C469">
        <v>23</v>
      </c>
      <c r="D469" t="s">
        <v>8</v>
      </c>
      <c r="E469" t="s">
        <v>34</v>
      </c>
      <c r="F469">
        <v>8</v>
      </c>
    </row>
    <row r="470" spans="1:6" x14ac:dyDescent="0.3">
      <c r="A470" t="s">
        <v>372</v>
      </c>
      <c r="B470" t="s">
        <v>14</v>
      </c>
      <c r="C470">
        <v>27</v>
      </c>
      <c r="D470" t="s">
        <v>8</v>
      </c>
      <c r="E470" t="s">
        <v>8</v>
      </c>
      <c r="F470">
        <v>5</v>
      </c>
    </row>
    <row r="471" spans="1:6" x14ac:dyDescent="0.3">
      <c r="A471" t="s">
        <v>504</v>
      </c>
      <c r="B471" t="s">
        <v>94</v>
      </c>
      <c r="C471">
        <v>28</v>
      </c>
      <c r="D471" t="s">
        <v>8</v>
      </c>
      <c r="E471" t="s">
        <v>9</v>
      </c>
      <c r="F471">
        <v>1</v>
      </c>
    </row>
    <row r="472" spans="1:6" x14ac:dyDescent="0.3">
      <c r="A472" t="s">
        <v>57</v>
      </c>
      <c r="B472" t="s">
        <v>45</v>
      </c>
      <c r="C472">
        <v>28</v>
      </c>
      <c r="D472" t="s">
        <v>8</v>
      </c>
      <c r="E472" t="s">
        <v>8</v>
      </c>
      <c r="F472">
        <v>44</v>
      </c>
    </row>
    <row r="473" spans="1:6" x14ac:dyDescent="0.3">
      <c r="A473" t="s">
        <v>43</v>
      </c>
      <c r="B473" t="s">
        <v>25</v>
      </c>
      <c r="C473">
        <v>27</v>
      </c>
      <c r="D473" t="s">
        <v>8</v>
      </c>
      <c r="E473" t="s">
        <v>8</v>
      </c>
      <c r="F473">
        <v>60</v>
      </c>
    </row>
    <row r="474" spans="1:6" x14ac:dyDescent="0.3">
      <c r="A474" t="s">
        <v>505</v>
      </c>
      <c r="B474" t="s">
        <v>94</v>
      </c>
      <c r="C474">
        <v>20</v>
      </c>
      <c r="D474" t="s">
        <v>8</v>
      </c>
      <c r="E474" t="s">
        <v>34</v>
      </c>
      <c r="F474">
        <v>1</v>
      </c>
    </row>
    <row r="475" spans="1:6" x14ac:dyDescent="0.3">
      <c r="A475" t="s">
        <v>467</v>
      </c>
      <c r="B475" t="s">
        <v>115</v>
      </c>
      <c r="C475">
        <v>18</v>
      </c>
      <c r="D475" t="s">
        <v>8</v>
      </c>
      <c r="E475" t="s">
        <v>8</v>
      </c>
      <c r="F475">
        <v>2</v>
      </c>
    </row>
    <row r="476" spans="1:6" x14ac:dyDescent="0.3">
      <c r="A476" t="s">
        <v>376</v>
      </c>
      <c r="B476" t="s">
        <v>14</v>
      </c>
      <c r="C476">
        <v>26</v>
      </c>
      <c r="D476" t="s">
        <v>8</v>
      </c>
      <c r="E476" t="s">
        <v>9</v>
      </c>
      <c r="F476">
        <v>5</v>
      </c>
    </row>
    <row r="477" spans="1:6" x14ac:dyDescent="0.3">
      <c r="A477" t="s">
        <v>208</v>
      </c>
      <c r="B477" t="s">
        <v>104</v>
      </c>
      <c r="C477">
        <v>25</v>
      </c>
      <c r="D477" t="s">
        <v>8</v>
      </c>
      <c r="E477" t="s">
        <v>21</v>
      </c>
      <c r="F477">
        <v>11</v>
      </c>
    </row>
    <row r="478" spans="1:6" x14ac:dyDescent="0.3">
      <c r="A478" t="s">
        <v>10</v>
      </c>
      <c r="B478" t="s">
        <v>11</v>
      </c>
      <c r="C478">
        <v>27</v>
      </c>
      <c r="D478" t="s">
        <v>8</v>
      </c>
      <c r="E478" t="s">
        <v>9</v>
      </c>
      <c r="F478">
        <v>183</v>
      </c>
    </row>
    <row r="479" spans="1:6" x14ac:dyDescent="0.3">
      <c r="A479" t="s">
        <v>6</v>
      </c>
      <c r="B479" t="s">
        <v>7</v>
      </c>
      <c r="C479">
        <v>29</v>
      </c>
      <c r="D479" t="s">
        <v>8</v>
      </c>
      <c r="E479" t="s">
        <v>9</v>
      </c>
      <c r="F479">
        <v>185</v>
      </c>
    </row>
    <row r="480" spans="1:6" x14ac:dyDescent="0.3">
      <c r="A480" t="s">
        <v>369</v>
      </c>
      <c r="B480" t="s">
        <v>104</v>
      </c>
      <c r="C480">
        <v>19</v>
      </c>
      <c r="D480" t="s">
        <v>8</v>
      </c>
      <c r="E480" t="s">
        <v>9</v>
      </c>
      <c r="F480">
        <v>5</v>
      </c>
    </row>
    <row r="481" spans="1:6" x14ac:dyDescent="0.3">
      <c r="A481" t="s">
        <v>287</v>
      </c>
      <c r="B481" t="s">
        <v>29</v>
      </c>
      <c r="C481">
        <v>32</v>
      </c>
      <c r="D481" t="s">
        <v>8</v>
      </c>
      <c r="E481" t="s">
        <v>9</v>
      </c>
      <c r="F481">
        <v>7</v>
      </c>
    </row>
    <row r="482" spans="1:6" x14ac:dyDescent="0.3">
      <c r="A482" t="s">
        <v>377</v>
      </c>
      <c r="B482" t="s">
        <v>19</v>
      </c>
      <c r="C482">
        <v>34</v>
      </c>
      <c r="D482" t="s">
        <v>8</v>
      </c>
      <c r="E482" t="s">
        <v>9</v>
      </c>
      <c r="F482">
        <v>5</v>
      </c>
    </row>
    <row r="483" spans="1:6" x14ac:dyDescent="0.3">
      <c r="A483" t="s">
        <v>240</v>
      </c>
      <c r="B483" t="s">
        <v>142</v>
      </c>
      <c r="C483">
        <v>28</v>
      </c>
      <c r="D483" t="s">
        <v>8</v>
      </c>
      <c r="E483" t="s">
        <v>8</v>
      </c>
      <c r="F483">
        <v>9</v>
      </c>
    </row>
    <row r="484" spans="1:6" x14ac:dyDescent="0.3">
      <c r="A484" t="s">
        <v>260</v>
      </c>
      <c r="B484" t="s">
        <v>104</v>
      </c>
      <c r="C484">
        <v>23</v>
      </c>
      <c r="D484" t="s">
        <v>8</v>
      </c>
      <c r="E484" t="s">
        <v>9</v>
      </c>
      <c r="F484">
        <v>8</v>
      </c>
    </row>
    <row r="485" spans="1:6" x14ac:dyDescent="0.3">
      <c r="A485" t="s">
        <v>373</v>
      </c>
      <c r="B485" t="s">
        <v>178</v>
      </c>
      <c r="C485">
        <v>26</v>
      </c>
      <c r="D485" t="s">
        <v>8</v>
      </c>
      <c r="E485" t="s">
        <v>34</v>
      </c>
      <c r="F485">
        <v>5</v>
      </c>
    </row>
    <row r="486" spans="1:6" x14ac:dyDescent="0.3">
      <c r="A486" t="s">
        <v>206</v>
      </c>
      <c r="B486" t="s">
        <v>14</v>
      </c>
      <c r="C486">
        <v>29</v>
      </c>
      <c r="D486" t="s">
        <v>8</v>
      </c>
      <c r="E486" t="s">
        <v>34</v>
      </c>
      <c r="F486">
        <v>11</v>
      </c>
    </row>
    <row r="487" spans="1:6" x14ac:dyDescent="0.3">
      <c r="A487" t="s">
        <v>179</v>
      </c>
      <c r="B487" t="s">
        <v>25</v>
      </c>
      <c r="C487">
        <v>29</v>
      </c>
      <c r="D487" t="s">
        <v>8</v>
      </c>
      <c r="E487" t="s">
        <v>8</v>
      </c>
      <c r="F487">
        <v>13</v>
      </c>
    </row>
    <row r="488" spans="1:6" x14ac:dyDescent="0.3">
      <c r="A488" t="s">
        <v>239</v>
      </c>
      <c r="B488" t="s">
        <v>55</v>
      </c>
      <c r="C488">
        <v>27</v>
      </c>
      <c r="D488" t="s">
        <v>8</v>
      </c>
      <c r="E488" t="s">
        <v>8</v>
      </c>
      <c r="F488">
        <v>9</v>
      </c>
    </row>
    <row r="489" spans="1:6" x14ac:dyDescent="0.3">
      <c r="A489" t="s">
        <v>79</v>
      </c>
      <c r="B489" t="s">
        <v>31</v>
      </c>
      <c r="C489">
        <v>25</v>
      </c>
      <c r="D489" t="s">
        <v>8</v>
      </c>
      <c r="E489" t="s">
        <v>9</v>
      </c>
      <c r="F489">
        <v>30</v>
      </c>
    </row>
    <row r="490" spans="1:6" x14ac:dyDescent="0.3">
      <c r="A490" t="s">
        <v>150</v>
      </c>
      <c r="B490" t="s">
        <v>33</v>
      </c>
      <c r="C490">
        <v>25</v>
      </c>
      <c r="D490" t="s">
        <v>8</v>
      </c>
      <c r="E490" t="s">
        <v>9</v>
      </c>
      <c r="F490">
        <v>16</v>
      </c>
    </row>
    <row r="491" spans="1:6" x14ac:dyDescent="0.3">
      <c r="A491" t="s">
        <v>84</v>
      </c>
      <c r="B491" t="s">
        <v>45</v>
      </c>
      <c r="C491">
        <v>27</v>
      </c>
      <c r="D491" t="s">
        <v>8</v>
      </c>
      <c r="E491" t="s">
        <v>9</v>
      </c>
      <c r="F491">
        <v>28</v>
      </c>
    </row>
    <row r="492" spans="1:6" x14ac:dyDescent="0.3">
      <c r="A492" t="s">
        <v>193</v>
      </c>
      <c r="B492" t="s">
        <v>157</v>
      </c>
      <c r="C492">
        <v>22</v>
      </c>
      <c r="D492" t="s">
        <v>8</v>
      </c>
      <c r="E492" t="s">
        <v>9</v>
      </c>
      <c r="F492">
        <v>12</v>
      </c>
    </row>
    <row r="493" spans="1:6" x14ac:dyDescent="0.3">
      <c r="A493" t="s">
        <v>24</v>
      </c>
      <c r="B493" t="s">
        <v>25</v>
      </c>
      <c r="C493">
        <v>25</v>
      </c>
      <c r="D493" t="s">
        <v>8</v>
      </c>
      <c r="E493" t="s">
        <v>9</v>
      </c>
      <c r="F493">
        <v>116</v>
      </c>
    </row>
    <row r="494" spans="1:6" x14ac:dyDescent="0.3">
      <c r="A494" t="s">
        <v>77</v>
      </c>
      <c r="B494" t="s">
        <v>39</v>
      </c>
      <c r="C494">
        <v>26</v>
      </c>
      <c r="D494" t="s">
        <v>8</v>
      </c>
      <c r="E494" t="s">
        <v>8</v>
      </c>
      <c r="F494">
        <v>31</v>
      </c>
    </row>
    <row r="495" spans="1:6" x14ac:dyDescent="0.3">
      <c r="A495" t="s">
        <v>147</v>
      </c>
      <c r="B495" t="s">
        <v>55</v>
      </c>
      <c r="C495">
        <v>23</v>
      </c>
      <c r="D495" t="s">
        <v>8</v>
      </c>
      <c r="E495" t="s">
        <v>9</v>
      </c>
      <c r="F495">
        <v>16</v>
      </c>
    </row>
    <row r="496" spans="1:6" x14ac:dyDescent="0.3">
      <c r="A496" t="s">
        <v>367</v>
      </c>
      <c r="B496" t="s">
        <v>142</v>
      </c>
      <c r="C496">
        <v>19</v>
      </c>
      <c r="D496" t="s">
        <v>8</v>
      </c>
      <c r="E496" t="s">
        <v>8</v>
      </c>
      <c r="F496">
        <v>5</v>
      </c>
    </row>
    <row r="497" spans="1:6" x14ac:dyDescent="0.3">
      <c r="A497" t="s">
        <v>132</v>
      </c>
      <c r="B497" t="s">
        <v>115</v>
      </c>
      <c r="C497">
        <v>23</v>
      </c>
      <c r="D497" t="s">
        <v>8</v>
      </c>
      <c r="E497" t="s">
        <v>9</v>
      </c>
      <c r="F497">
        <v>19</v>
      </c>
    </row>
    <row r="498" spans="1:6" x14ac:dyDescent="0.3">
      <c r="A498" t="s">
        <v>217</v>
      </c>
      <c r="B498" t="s">
        <v>94</v>
      </c>
      <c r="C498">
        <v>26</v>
      </c>
      <c r="D498" t="s">
        <v>8</v>
      </c>
      <c r="E498" t="s">
        <v>9</v>
      </c>
      <c r="F498">
        <v>10</v>
      </c>
    </row>
    <row r="499" spans="1:6" x14ac:dyDescent="0.3">
      <c r="A499" t="s">
        <v>81</v>
      </c>
      <c r="B499" t="s">
        <v>14</v>
      </c>
      <c r="C499">
        <v>24</v>
      </c>
      <c r="D499" t="s">
        <v>8</v>
      </c>
      <c r="E499" t="s">
        <v>34</v>
      </c>
      <c r="F499">
        <v>29</v>
      </c>
    </row>
    <row r="500" spans="1:6" x14ac:dyDescent="0.3">
      <c r="A500" t="s">
        <v>38</v>
      </c>
      <c r="B500" t="s">
        <v>39</v>
      </c>
      <c r="C500">
        <v>27</v>
      </c>
      <c r="D500" t="s">
        <v>8</v>
      </c>
      <c r="E500" t="s">
        <v>9</v>
      </c>
      <c r="F500">
        <v>66</v>
      </c>
    </row>
    <row r="501" spans="1:6" x14ac:dyDescent="0.3">
      <c r="A501" t="s">
        <v>63</v>
      </c>
      <c r="B501" t="s">
        <v>64</v>
      </c>
      <c r="C501">
        <v>31</v>
      </c>
      <c r="D501" t="s">
        <v>8</v>
      </c>
      <c r="E501" t="s">
        <v>9</v>
      </c>
      <c r="F501">
        <v>41</v>
      </c>
    </row>
    <row r="502" spans="1:6" x14ac:dyDescent="0.3">
      <c r="A502" t="s">
        <v>91</v>
      </c>
      <c r="B502" t="s">
        <v>11</v>
      </c>
      <c r="C502">
        <v>23</v>
      </c>
      <c r="D502" t="s">
        <v>8</v>
      </c>
      <c r="E502" t="s">
        <v>8</v>
      </c>
      <c r="F502">
        <v>27</v>
      </c>
    </row>
    <row r="503" spans="1:6" x14ac:dyDescent="0.3">
      <c r="A503" t="s">
        <v>238</v>
      </c>
      <c r="B503" t="s">
        <v>178</v>
      </c>
      <c r="C503">
        <v>25</v>
      </c>
      <c r="D503" t="s">
        <v>8</v>
      </c>
      <c r="E503" t="s">
        <v>9</v>
      </c>
      <c r="F503">
        <v>9</v>
      </c>
    </row>
    <row r="504" spans="1:6" x14ac:dyDescent="0.3">
      <c r="A504" t="s">
        <v>262</v>
      </c>
      <c r="B504" t="s">
        <v>39</v>
      </c>
      <c r="C504">
        <v>24</v>
      </c>
      <c r="D504" t="s">
        <v>8</v>
      </c>
      <c r="E504" t="s">
        <v>8</v>
      </c>
      <c r="F504">
        <v>8</v>
      </c>
    </row>
    <row r="505" spans="1:6" x14ac:dyDescent="0.3">
      <c r="A505" t="s">
        <v>12</v>
      </c>
      <c r="B505" t="s">
        <v>7</v>
      </c>
      <c r="C505">
        <v>29</v>
      </c>
      <c r="D505" t="s">
        <v>8</v>
      </c>
      <c r="E505" t="s">
        <v>9</v>
      </c>
      <c r="F505">
        <v>140</v>
      </c>
    </row>
    <row r="506" spans="1:6" x14ac:dyDescent="0.3">
      <c r="A506" t="s">
        <v>114</v>
      </c>
      <c r="B506" t="s">
        <v>115</v>
      </c>
      <c r="C506">
        <v>25</v>
      </c>
      <c r="D506" t="s">
        <v>8</v>
      </c>
      <c r="E506" t="s">
        <v>9</v>
      </c>
      <c r="F506">
        <v>22</v>
      </c>
    </row>
    <row r="507" spans="1:6" x14ac:dyDescent="0.3">
      <c r="A507" t="s">
        <v>507</v>
      </c>
      <c r="B507" t="s">
        <v>104</v>
      </c>
      <c r="C507">
        <v>20</v>
      </c>
      <c r="D507" t="s">
        <v>8</v>
      </c>
      <c r="E507" t="s">
        <v>9</v>
      </c>
      <c r="F507">
        <v>1</v>
      </c>
    </row>
    <row r="508" spans="1:6" x14ac:dyDescent="0.3">
      <c r="A508" t="s">
        <v>410</v>
      </c>
      <c r="B508" t="s">
        <v>142</v>
      </c>
      <c r="C508">
        <v>21</v>
      </c>
      <c r="D508" t="s">
        <v>8</v>
      </c>
      <c r="E508" t="s">
        <v>9</v>
      </c>
      <c r="F508">
        <v>4</v>
      </c>
    </row>
    <row r="509" spans="1:6" x14ac:dyDescent="0.3">
      <c r="A509" t="s">
        <v>470</v>
      </c>
      <c r="B509" t="s">
        <v>11</v>
      </c>
      <c r="C509">
        <v>19</v>
      </c>
      <c r="D509" t="s">
        <v>8</v>
      </c>
      <c r="E509" t="s">
        <v>9</v>
      </c>
      <c r="F509">
        <v>2</v>
      </c>
    </row>
    <row r="510" spans="1:6" x14ac:dyDescent="0.3">
      <c r="A510" t="s">
        <v>219</v>
      </c>
      <c r="B510" t="s">
        <v>74</v>
      </c>
      <c r="C510">
        <v>26</v>
      </c>
      <c r="D510" t="s">
        <v>8</v>
      </c>
      <c r="E510" t="s">
        <v>8</v>
      </c>
      <c r="F510">
        <v>10</v>
      </c>
    </row>
    <row r="511" spans="1:6" x14ac:dyDescent="0.3">
      <c r="A511" t="s">
        <v>164</v>
      </c>
      <c r="B511" t="s">
        <v>94</v>
      </c>
      <c r="C511">
        <v>26</v>
      </c>
      <c r="D511" t="s">
        <v>8</v>
      </c>
      <c r="E511" t="s">
        <v>8</v>
      </c>
      <c r="F511">
        <v>14</v>
      </c>
    </row>
    <row r="512" spans="1:6" x14ac:dyDescent="0.3">
      <c r="A512" t="s">
        <v>35</v>
      </c>
      <c r="B512" t="s">
        <v>29</v>
      </c>
      <c r="C512">
        <v>21</v>
      </c>
      <c r="D512" t="s">
        <v>8</v>
      </c>
      <c r="E512" t="s">
        <v>8</v>
      </c>
      <c r="F512">
        <v>96</v>
      </c>
    </row>
    <row r="513" spans="1:6" x14ac:dyDescent="0.3">
      <c r="A513" t="s">
        <v>241</v>
      </c>
      <c r="B513" t="s">
        <v>64</v>
      </c>
      <c r="C513">
        <v>35</v>
      </c>
      <c r="D513" t="s">
        <v>8</v>
      </c>
      <c r="E513" t="s">
        <v>9</v>
      </c>
      <c r="F513">
        <v>9</v>
      </c>
    </row>
  </sheetData>
  <sortState xmlns:xlrd2="http://schemas.microsoft.com/office/spreadsheetml/2017/richdata2" ref="A3:F513">
    <sortCondition descending="1" ref="D3:D513"/>
  </sortState>
  <pageMargins left="0.7" right="0.7" top="0.75" bottom="0.75" header="0.3" footer="0.3"/>
  <ignoredErrors>
    <ignoredError sqref="A1 B1:E1 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3B2D-CE28-43D8-8435-17C8519D09E7}">
  <dimension ref="A1:AT515"/>
  <sheetViews>
    <sheetView topLeftCell="A376" workbookViewId="0">
      <selection activeCell="L386" sqref="L386"/>
    </sheetView>
  </sheetViews>
  <sheetFormatPr defaultRowHeight="14.4" x14ac:dyDescent="0.3"/>
  <cols>
    <col min="1" max="1" width="16.5546875" customWidth="1"/>
    <col min="2" max="2" width="9.6640625" customWidth="1"/>
    <col min="3" max="3" width="2.6640625" customWidth="1"/>
    <col min="4" max="4" width="5.21875" customWidth="1"/>
    <col min="5" max="5" width="4.44140625" customWidth="1"/>
    <col min="6" max="6" width="0.88671875" style="8" customWidth="1"/>
    <col min="8" max="8" width="1" style="8" customWidth="1"/>
    <col min="9" max="46" width="5.77734375" customWidth="1"/>
  </cols>
  <sheetData>
    <row r="1" spans="1:46" s="2" customFormat="1" ht="44.4" customHeight="1" x14ac:dyDescent="0.3">
      <c r="A1" s="2" t="s">
        <v>0</v>
      </c>
      <c r="B1" s="2" t="s">
        <v>1</v>
      </c>
      <c r="C1" s="2" t="s">
        <v>3</v>
      </c>
      <c r="D1" s="22" t="s">
        <v>4</v>
      </c>
      <c r="E1" s="22" t="s">
        <v>5</v>
      </c>
      <c r="F1" s="23"/>
      <c r="G1" s="9" t="s">
        <v>744</v>
      </c>
      <c r="H1" s="23"/>
      <c r="I1" s="2">
        <v>1</v>
      </c>
      <c r="J1" s="2">
        <v>2</v>
      </c>
      <c r="K1" s="2">
        <v>3</v>
      </c>
      <c r="L1" s="2">
        <v>4</v>
      </c>
      <c r="M1" s="2">
        <v>5</v>
      </c>
      <c r="N1" s="2">
        <v>6</v>
      </c>
      <c r="O1" s="2">
        <v>7</v>
      </c>
      <c r="P1" s="2">
        <v>8</v>
      </c>
      <c r="Q1" s="2">
        <v>9</v>
      </c>
      <c r="R1" s="2">
        <v>10</v>
      </c>
      <c r="S1" s="2">
        <v>11</v>
      </c>
      <c r="T1" s="2">
        <v>12</v>
      </c>
      <c r="U1" s="2">
        <v>13</v>
      </c>
      <c r="V1" s="2">
        <v>14</v>
      </c>
      <c r="W1" s="2">
        <v>15</v>
      </c>
      <c r="X1" s="2">
        <v>16</v>
      </c>
      <c r="Y1" s="2">
        <v>17</v>
      </c>
      <c r="Z1" s="2">
        <v>18</v>
      </c>
      <c r="AA1" s="2">
        <v>19</v>
      </c>
      <c r="AB1" s="2">
        <v>20</v>
      </c>
      <c r="AC1" s="2">
        <v>21</v>
      </c>
      <c r="AD1" s="2">
        <v>22</v>
      </c>
      <c r="AE1" s="2">
        <v>23</v>
      </c>
      <c r="AF1" s="2">
        <v>24</v>
      </c>
      <c r="AG1" s="2">
        <v>25</v>
      </c>
      <c r="AH1" s="2">
        <v>26</v>
      </c>
      <c r="AI1" s="2">
        <v>27</v>
      </c>
      <c r="AJ1" s="2">
        <v>28</v>
      </c>
      <c r="AK1" s="2">
        <v>29</v>
      </c>
      <c r="AL1" s="2">
        <v>30</v>
      </c>
      <c r="AM1" s="2">
        <v>31</v>
      </c>
      <c r="AN1" s="2">
        <v>32</v>
      </c>
      <c r="AO1" s="2">
        <v>33</v>
      </c>
      <c r="AP1" s="2">
        <v>34</v>
      </c>
      <c r="AQ1" s="2">
        <v>35</v>
      </c>
      <c r="AR1" s="2">
        <v>36</v>
      </c>
      <c r="AS1" s="2">
        <v>37</v>
      </c>
      <c r="AT1" s="2">
        <v>38</v>
      </c>
    </row>
    <row r="3" spans="1:46" x14ac:dyDescent="0.3">
      <c r="A3" t="s">
        <v>97</v>
      </c>
      <c r="B3" t="s">
        <v>39</v>
      </c>
      <c r="C3" t="s">
        <v>71</v>
      </c>
      <c r="D3" t="s">
        <v>72</v>
      </c>
      <c r="E3">
        <v>26</v>
      </c>
      <c r="F3" s="8">
        <v>9</v>
      </c>
      <c r="G3" t="str">
        <f>IFERROR(AVERAGE(I3:AT3),"")</f>
        <v/>
      </c>
      <c r="H3" s="8">
        <v>0</v>
      </c>
    </row>
    <row r="4" spans="1:46" x14ac:dyDescent="0.3">
      <c r="A4" t="s">
        <v>565</v>
      </c>
      <c r="B4" t="s">
        <v>39</v>
      </c>
      <c r="C4" t="s">
        <v>71</v>
      </c>
      <c r="D4" t="s">
        <v>72</v>
      </c>
      <c r="E4">
        <v>1</v>
      </c>
      <c r="F4" s="8">
        <v>0</v>
      </c>
      <c r="G4" t="str">
        <f t="shared" ref="G4:G67" si="0">IFERROR(AVERAGE(I4:AT4),"")</f>
        <v/>
      </c>
      <c r="H4" s="8">
        <v>0</v>
      </c>
    </row>
    <row r="5" spans="1:46" x14ac:dyDescent="0.3">
      <c r="A5" t="s">
        <v>531</v>
      </c>
      <c r="B5" t="s">
        <v>39</v>
      </c>
      <c r="C5" t="s">
        <v>71</v>
      </c>
      <c r="D5" t="s">
        <v>72</v>
      </c>
      <c r="E5">
        <v>1</v>
      </c>
      <c r="F5" s="8">
        <v>0</v>
      </c>
      <c r="G5" t="str">
        <f t="shared" si="0"/>
        <v/>
      </c>
      <c r="H5" s="8">
        <v>0</v>
      </c>
    </row>
    <row r="6" spans="1:46" x14ac:dyDescent="0.3">
      <c r="A6" t="s">
        <v>277</v>
      </c>
      <c r="B6" t="s">
        <v>39</v>
      </c>
      <c r="C6" t="s">
        <v>16</v>
      </c>
      <c r="D6" t="s">
        <v>171</v>
      </c>
      <c r="E6">
        <v>8</v>
      </c>
      <c r="F6" s="8">
        <v>0</v>
      </c>
      <c r="G6" t="str">
        <f t="shared" si="0"/>
        <v/>
      </c>
      <c r="H6" s="8">
        <v>0</v>
      </c>
    </row>
    <row r="7" spans="1:46" x14ac:dyDescent="0.3">
      <c r="A7" t="s">
        <v>279</v>
      </c>
      <c r="B7" t="s">
        <v>39</v>
      </c>
      <c r="C7" t="s">
        <v>16</v>
      </c>
      <c r="D7" t="s">
        <v>131</v>
      </c>
      <c r="E7">
        <v>8</v>
      </c>
      <c r="F7" s="8">
        <v>0</v>
      </c>
      <c r="G7" t="str">
        <f t="shared" si="0"/>
        <v/>
      </c>
      <c r="H7" s="8">
        <v>0</v>
      </c>
    </row>
    <row r="8" spans="1:46" x14ac:dyDescent="0.3">
      <c r="A8" t="s">
        <v>250</v>
      </c>
      <c r="B8" t="s">
        <v>39</v>
      </c>
      <c r="C8" t="s">
        <v>16</v>
      </c>
      <c r="D8" t="s">
        <v>188</v>
      </c>
      <c r="E8">
        <v>9</v>
      </c>
      <c r="F8" s="8">
        <v>0</v>
      </c>
      <c r="G8" t="str">
        <f t="shared" si="0"/>
        <v/>
      </c>
      <c r="H8" s="8">
        <v>0</v>
      </c>
    </row>
    <row r="9" spans="1:46" x14ac:dyDescent="0.3">
      <c r="A9" t="s">
        <v>278</v>
      </c>
      <c r="B9" t="s">
        <v>39</v>
      </c>
      <c r="C9" t="s">
        <v>16</v>
      </c>
      <c r="D9" t="s">
        <v>88</v>
      </c>
      <c r="E9">
        <v>8</v>
      </c>
      <c r="F9" s="8">
        <v>0</v>
      </c>
      <c r="G9" t="str">
        <f t="shared" si="0"/>
        <v/>
      </c>
      <c r="H9" s="8">
        <v>0</v>
      </c>
    </row>
    <row r="10" spans="1:46" x14ac:dyDescent="0.3">
      <c r="A10" t="s">
        <v>364</v>
      </c>
      <c r="B10" t="s">
        <v>39</v>
      </c>
      <c r="C10" t="s">
        <v>16</v>
      </c>
      <c r="D10" t="s">
        <v>146</v>
      </c>
      <c r="E10">
        <v>6</v>
      </c>
      <c r="F10" s="8">
        <v>0</v>
      </c>
      <c r="G10" t="str">
        <f t="shared" si="0"/>
        <v/>
      </c>
      <c r="H10" s="8">
        <v>0</v>
      </c>
    </row>
    <row r="11" spans="1:46" x14ac:dyDescent="0.3">
      <c r="A11" t="s">
        <v>433</v>
      </c>
      <c r="B11" t="s">
        <v>39</v>
      </c>
      <c r="C11" t="s">
        <v>16</v>
      </c>
      <c r="D11" t="s">
        <v>111</v>
      </c>
      <c r="E11">
        <v>4</v>
      </c>
      <c r="F11" s="8">
        <v>0</v>
      </c>
      <c r="G11" t="str">
        <f t="shared" si="0"/>
        <v/>
      </c>
      <c r="H11" s="8">
        <v>0</v>
      </c>
    </row>
    <row r="12" spans="1:46" x14ac:dyDescent="0.3">
      <c r="A12" t="s">
        <v>233</v>
      </c>
      <c r="B12" t="s">
        <v>39</v>
      </c>
      <c r="C12" t="s">
        <v>16</v>
      </c>
      <c r="D12" t="s">
        <v>111</v>
      </c>
      <c r="E12">
        <v>10</v>
      </c>
      <c r="F12" s="8">
        <v>0</v>
      </c>
      <c r="G12" t="str">
        <f t="shared" si="0"/>
        <v/>
      </c>
      <c r="H12" s="8">
        <v>0</v>
      </c>
    </row>
    <row r="13" spans="1:46" x14ac:dyDescent="0.3">
      <c r="A13" t="s">
        <v>172</v>
      </c>
      <c r="B13" t="s">
        <v>39</v>
      </c>
      <c r="C13" t="s">
        <v>16</v>
      </c>
      <c r="D13" t="s">
        <v>88</v>
      </c>
      <c r="E13">
        <v>14</v>
      </c>
      <c r="F13" s="8">
        <v>0</v>
      </c>
      <c r="G13" t="str">
        <f t="shared" si="0"/>
        <v/>
      </c>
      <c r="H13" s="8">
        <v>0</v>
      </c>
    </row>
    <row r="14" spans="1:46" x14ac:dyDescent="0.3">
      <c r="A14" t="s">
        <v>204</v>
      </c>
      <c r="B14" t="s">
        <v>39</v>
      </c>
      <c r="C14" t="s">
        <v>16</v>
      </c>
      <c r="D14" t="s">
        <v>131</v>
      </c>
      <c r="E14">
        <v>12</v>
      </c>
      <c r="F14" s="8">
        <v>0</v>
      </c>
      <c r="G14" t="str">
        <f t="shared" si="0"/>
        <v/>
      </c>
      <c r="H14" s="8">
        <v>0</v>
      </c>
    </row>
    <row r="15" spans="1:46" x14ac:dyDescent="0.3">
      <c r="A15" t="s">
        <v>341</v>
      </c>
      <c r="B15" t="s">
        <v>39</v>
      </c>
      <c r="C15" t="s">
        <v>20</v>
      </c>
      <c r="D15" t="s">
        <v>27</v>
      </c>
      <c r="E15">
        <v>6</v>
      </c>
      <c r="F15" s="8">
        <v>0</v>
      </c>
      <c r="G15" t="str">
        <f t="shared" si="0"/>
        <v/>
      </c>
      <c r="H15" s="8">
        <v>0</v>
      </c>
    </row>
    <row r="16" spans="1:46" x14ac:dyDescent="0.3">
      <c r="A16" t="s">
        <v>108</v>
      </c>
      <c r="B16" t="s">
        <v>39</v>
      </c>
      <c r="C16" t="s">
        <v>20</v>
      </c>
      <c r="D16" t="s">
        <v>27</v>
      </c>
      <c r="E16">
        <v>23</v>
      </c>
      <c r="F16" s="8">
        <v>0</v>
      </c>
      <c r="G16" t="str">
        <f t="shared" si="0"/>
        <v/>
      </c>
      <c r="H16" s="8">
        <v>0</v>
      </c>
    </row>
    <row r="17" spans="1:8" x14ac:dyDescent="0.3">
      <c r="A17" t="s">
        <v>198</v>
      </c>
      <c r="B17" t="s">
        <v>39</v>
      </c>
      <c r="C17" t="s">
        <v>20</v>
      </c>
      <c r="D17" t="s">
        <v>27</v>
      </c>
      <c r="E17">
        <v>12</v>
      </c>
      <c r="F17" s="8">
        <v>0</v>
      </c>
      <c r="G17" t="str">
        <f t="shared" si="0"/>
        <v/>
      </c>
      <c r="H17" s="8">
        <v>0</v>
      </c>
    </row>
    <row r="18" spans="1:8" x14ac:dyDescent="0.3">
      <c r="A18" t="s">
        <v>152</v>
      </c>
      <c r="B18" t="s">
        <v>39</v>
      </c>
      <c r="C18" t="s">
        <v>20</v>
      </c>
      <c r="D18" t="s">
        <v>23</v>
      </c>
      <c r="E18">
        <v>16</v>
      </c>
      <c r="F18" s="8">
        <v>0</v>
      </c>
      <c r="G18" t="str">
        <f t="shared" si="0"/>
        <v/>
      </c>
      <c r="H18" s="8">
        <v>0</v>
      </c>
    </row>
    <row r="19" spans="1:8" x14ac:dyDescent="0.3">
      <c r="A19" t="s">
        <v>123</v>
      </c>
      <c r="B19" t="s">
        <v>39</v>
      </c>
      <c r="C19" t="s">
        <v>20</v>
      </c>
      <c r="D19" t="s">
        <v>23</v>
      </c>
      <c r="E19">
        <v>21</v>
      </c>
      <c r="F19" s="8">
        <v>0</v>
      </c>
      <c r="G19" t="str">
        <f t="shared" si="0"/>
        <v/>
      </c>
      <c r="H19" s="8">
        <v>0</v>
      </c>
    </row>
    <row r="20" spans="1:8" x14ac:dyDescent="0.3">
      <c r="A20" t="s">
        <v>417</v>
      </c>
      <c r="B20" t="s">
        <v>39</v>
      </c>
      <c r="C20" t="s">
        <v>20</v>
      </c>
      <c r="D20" t="s">
        <v>27</v>
      </c>
      <c r="E20">
        <v>4</v>
      </c>
      <c r="F20" s="8">
        <v>0</v>
      </c>
      <c r="G20" t="str">
        <f t="shared" si="0"/>
        <v/>
      </c>
      <c r="H20" s="8">
        <v>0</v>
      </c>
    </row>
    <row r="21" spans="1:8" x14ac:dyDescent="0.3">
      <c r="A21" t="s">
        <v>210</v>
      </c>
      <c r="B21" t="s">
        <v>39</v>
      </c>
      <c r="C21" t="s">
        <v>20</v>
      </c>
      <c r="D21" t="s">
        <v>96</v>
      </c>
      <c r="E21">
        <v>11</v>
      </c>
      <c r="F21" s="8">
        <v>0</v>
      </c>
      <c r="G21" t="str">
        <f t="shared" si="0"/>
        <v/>
      </c>
      <c r="H21" s="8">
        <v>0</v>
      </c>
    </row>
    <row r="22" spans="1:8" x14ac:dyDescent="0.3">
      <c r="A22" t="s">
        <v>46</v>
      </c>
      <c r="B22" t="s">
        <v>39</v>
      </c>
      <c r="C22" t="s">
        <v>8</v>
      </c>
      <c r="D22" t="s">
        <v>8</v>
      </c>
      <c r="E22">
        <v>53</v>
      </c>
      <c r="F22" s="8">
        <v>0</v>
      </c>
      <c r="G22" t="str">
        <f t="shared" si="0"/>
        <v/>
      </c>
      <c r="H22" s="8">
        <v>0</v>
      </c>
    </row>
    <row r="23" spans="1:8" x14ac:dyDescent="0.3">
      <c r="A23" t="s">
        <v>52</v>
      </c>
      <c r="B23" t="s">
        <v>39</v>
      </c>
      <c r="C23" t="s">
        <v>8</v>
      </c>
      <c r="D23" t="s">
        <v>9</v>
      </c>
      <c r="E23">
        <v>48</v>
      </c>
      <c r="F23" s="8">
        <v>0</v>
      </c>
      <c r="G23" t="str">
        <f t="shared" si="0"/>
        <v/>
      </c>
      <c r="H23" s="8">
        <v>0</v>
      </c>
    </row>
    <row r="24" spans="1:8" x14ac:dyDescent="0.3">
      <c r="A24" t="s">
        <v>77</v>
      </c>
      <c r="B24" t="s">
        <v>39</v>
      </c>
      <c r="C24" t="s">
        <v>8</v>
      </c>
      <c r="D24" t="s">
        <v>8</v>
      </c>
      <c r="E24">
        <v>31</v>
      </c>
      <c r="F24" s="8">
        <v>0</v>
      </c>
      <c r="G24" t="str">
        <f t="shared" si="0"/>
        <v/>
      </c>
      <c r="H24" s="8">
        <v>0</v>
      </c>
    </row>
    <row r="25" spans="1:8" x14ac:dyDescent="0.3">
      <c r="A25" t="s">
        <v>38</v>
      </c>
      <c r="B25" t="s">
        <v>39</v>
      </c>
      <c r="C25" t="s">
        <v>8</v>
      </c>
      <c r="D25" t="s">
        <v>9</v>
      </c>
      <c r="E25">
        <v>66</v>
      </c>
      <c r="F25" s="8">
        <v>0</v>
      </c>
      <c r="G25" t="str">
        <f t="shared" si="0"/>
        <v/>
      </c>
      <c r="H25" s="8">
        <v>0</v>
      </c>
    </row>
    <row r="26" spans="1:8" x14ac:dyDescent="0.3">
      <c r="A26" t="s">
        <v>262</v>
      </c>
      <c r="B26" t="s">
        <v>39</v>
      </c>
      <c r="C26" t="s">
        <v>8</v>
      </c>
      <c r="D26" t="s">
        <v>8</v>
      </c>
      <c r="E26">
        <v>8</v>
      </c>
      <c r="F26" s="8">
        <v>0</v>
      </c>
      <c r="G26" t="str">
        <f t="shared" si="0"/>
        <v/>
      </c>
      <c r="H26" s="8">
        <v>0</v>
      </c>
    </row>
    <row r="27" spans="1:8" x14ac:dyDescent="0.3">
      <c r="A27" t="s">
        <v>533</v>
      </c>
      <c r="B27" t="s">
        <v>33</v>
      </c>
      <c r="C27" t="s">
        <v>71</v>
      </c>
      <c r="D27" t="s">
        <v>72</v>
      </c>
      <c r="E27">
        <v>1</v>
      </c>
      <c r="F27" s="8">
        <v>0</v>
      </c>
      <c r="G27" t="str">
        <f t="shared" si="0"/>
        <v/>
      </c>
      <c r="H27" s="8">
        <v>0</v>
      </c>
    </row>
    <row r="28" spans="1:8" x14ac:dyDescent="0.3">
      <c r="A28" t="s">
        <v>541</v>
      </c>
      <c r="B28" t="s">
        <v>33</v>
      </c>
      <c r="C28" t="s">
        <v>71</v>
      </c>
      <c r="D28" t="s">
        <v>72</v>
      </c>
      <c r="E28">
        <v>1</v>
      </c>
      <c r="F28" s="8">
        <v>0</v>
      </c>
      <c r="G28" t="str">
        <f t="shared" si="0"/>
        <v/>
      </c>
      <c r="H28" s="8">
        <v>0</v>
      </c>
    </row>
    <row r="29" spans="1:8" x14ac:dyDescent="0.3">
      <c r="A29" t="s">
        <v>139</v>
      </c>
      <c r="B29" t="s">
        <v>33</v>
      </c>
      <c r="C29" t="s">
        <v>71</v>
      </c>
      <c r="D29" t="s">
        <v>72</v>
      </c>
      <c r="E29">
        <v>19</v>
      </c>
      <c r="F29" s="8">
        <v>0</v>
      </c>
      <c r="G29" t="str">
        <f t="shared" si="0"/>
        <v/>
      </c>
      <c r="H29" s="8">
        <v>0</v>
      </c>
    </row>
    <row r="30" spans="1:8" x14ac:dyDescent="0.3">
      <c r="A30" t="s">
        <v>454</v>
      </c>
      <c r="B30" t="s">
        <v>33</v>
      </c>
      <c r="C30" t="s">
        <v>16</v>
      </c>
      <c r="D30" t="s">
        <v>188</v>
      </c>
      <c r="E30">
        <v>3</v>
      </c>
      <c r="F30" s="8">
        <v>0</v>
      </c>
      <c r="G30" t="str">
        <f t="shared" si="0"/>
        <v/>
      </c>
      <c r="H30" s="8">
        <v>0</v>
      </c>
    </row>
    <row r="31" spans="1:8" x14ac:dyDescent="0.3">
      <c r="A31" t="s">
        <v>460</v>
      </c>
      <c r="B31" t="s">
        <v>33</v>
      </c>
      <c r="C31" t="s">
        <v>16</v>
      </c>
      <c r="D31" t="s">
        <v>88</v>
      </c>
      <c r="E31">
        <v>3</v>
      </c>
      <c r="F31" s="8">
        <v>0</v>
      </c>
      <c r="G31" t="str">
        <f t="shared" si="0"/>
        <v/>
      </c>
      <c r="H31" s="8">
        <v>0</v>
      </c>
    </row>
    <row r="32" spans="1:8" x14ac:dyDescent="0.3">
      <c r="A32" t="s">
        <v>499</v>
      </c>
      <c r="B32" t="s">
        <v>33</v>
      </c>
      <c r="C32" t="s">
        <v>16</v>
      </c>
      <c r="D32" t="s">
        <v>131</v>
      </c>
      <c r="E32">
        <v>2</v>
      </c>
      <c r="F32" s="8">
        <v>0</v>
      </c>
      <c r="G32" t="str">
        <f t="shared" si="0"/>
        <v/>
      </c>
      <c r="H32" s="8">
        <v>0</v>
      </c>
    </row>
    <row r="33" spans="1:8" x14ac:dyDescent="0.3">
      <c r="A33" t="s">
        <v>275</v>
      </c>
      <c r="B33" t="s">
        <v>33</v>
      </c>
      <c r="C33" t="s">
        <v>16</v>
      </c>
      <c r="D33" t="s">
        <v>146</v>
      </c>
      <c r="E33">
        <v>8</v>
      </c>
      <c r="F33" s="8">
        <v>0</v>
      </c>
      <c r="G33" t="str">
        <f t="shared" si="0"/>
        <v/>
      </c>
      <c r="H33" s="8">
        <v>0</v>
      </c>
    </row>
    <row r="34" spans="1:8" x14ac:dyDescent="0.3">
      <c r="A34" t="s">
        <v>455</v>
      </c>
      <c r="B34" t="s">
        <v>33</v>
      </c>
      <c r="C34" t="s">
        <v>16</v>
      </c>
      <c r="D34" t="s">
        <v>111</v>
      </c>
      <c r="E34">
        <v>3</v>
      </c>
      <c r="F34" s="8">
        <v>0</v>
      </c>
      <c r="G34" t="str">
        <f t="shared" si="0"/>
        <v/>
      </c>
      <c r="H34" s="8">
        <v>0</v>
      </c>
    </row>
    <row r="35" spans="1:8" x14ac:dyDescent="0.3">
      <c r="A35" t="s">
        <v>316</v>
      </c>
      <c r="B35" t="s">
        <v>33</v>
      </c>
      <c r="C35" t="s">
        <v>16</v>
      </c>
      <c r="D35" t="s">
        <v>131</v>
      </c>
      <c r="E35">
        <v>7</v>
      </c>
      <c r="F35" s="8">
        <v>0</v>
      </c>
      <c r="G35" t="str">
        <f t="shared" si="0"/>
        <v/>
      </c>
      <c r="H35" s="8">
        <v>0</v>
      </c>
    </row>
    <row r="36" spans="1:8" x14ac:dyDescent="0.3">
      <c r="A36" t="s">
        <v>202</v>
      </c>
      <c r="B36" t="s">
        <v>33</v>
      </c>
      <c r="C36" t="s">
        <v>16</v>
      </c>
      <c r="D36" t="s">
        <v>188</v>
      </c>
      <c r="E36">
        <v>12</v>
      </c>
      <c r="F36" s="8">
        <v>0</v>
      </c>
      <c r="G36" t="str">
        <f t="shared" si="0"/>
        <v/>
      </c>
      <c r="H36" s="8">
        <v>0</v>
      </c>
    </row>
    <row r="37" spans="1:8" x14ac:dyDescent="0.3">
      <c r="A37" t="s">
        <v>348</v>
      </c>
      <c r="B37" t="s">
        <v>33</v>
      </c>
      <c r="C37" t="s">
        <v>16</v>
      </c>
      <c r="D37" t="s">
        <v>88</v>
      </c>
      <c r="E37">
        <v>6</v>
      </c>
      <c r="F37" s="8">
        <v>0</v>
      </c>
      <c r="G37" t="str">
        <f t="shared" si="0"/>
        <v/>
      </c>
      <c r="H37" s="8">
        <v>0</v>
      </c>
    </row>
    <row r="38" spans="1:8" x14ac:dyDescent="0.3">
      <c r="A38" t="s">
        <v>235</v>
      </c>
      <c r="B38" t="s">
        <v>33</v>
      </c>
      <c r="C38" t="s">
        <v>16</v>
      </c>
      <c r="D38" t="s">
        <v>131</v>
      </c>
      <c r="E38">
        <v>10</v>
      </c>
      <c r="F38" s="8">
        <v>0</v>
      </c>
      <c r="G38" t="str">
        <f t="shared" si="0"/>
        <v/>
      </c>
      <c r="H38" s="8">
        <v>0</v>
      </c>
    </row>
    <row r="39" spans="1:8" x14ac:dyDescent="0.3">
      <c r="A39" t="s">
        <v>323</v>
      </c>
      <c r="B39" t="s">
        <v>33</v>
      </c>
      <c r="C39" t="s">
        <v>20</v>
      </c>
      <c r="D39" t="s">
        <v>27</v>
      </c>
      <c r="E39">
        <v>6</v>
      </c>
      <c r="F39" s="8">
        <v>0</v>
      </c>
      <c r="G39" t="str">
        <f t="shared" si="0"/>
        <v/>
      </c>
      <c r="H39" s="8">
        <v>0</v>
      </c>
    </row>
    <row r="40" spans="1:8" x14ac:dyDescent="0.3">
      <c r="A40" t="s">
        <v>212</v>
      </c>
      <c r="B40" t="s">
        <v>33</v>
      </c>
      <c r="C40" t="s">
        <v>20</v>
      </c>
      <c r="D40" t="s">
        <v>83</v>
      </c>
      <c r="E40">
        <v>11</v>
      </c>
      <c r="F40" s="8">
        <v>0</v>
      </c>
      <c r="G40" t="str">
        <f t="shared" si="0"/>
        <v/>
      </c>
      <c r="H40" s="8">
        <v>0</v>
      </c>
    </row>
    <row r="41" spans="1:8" x14ac:dyDescent="0.3">
      <c r="A41" t="s">
        <v>186</v>
      </c>
      <c r="B41" t="s">
        <v>33</v>
      </c>
      <c r="C41" t="s">
        <v>20</v>
      </c>
      <c r="D41" t="s">
        <v>34</v>
      </c>
      <c r="E41">
        <v>13</v>
      </c>
      <c r="F41" s="8">
        <v>0</v>
      </c>
      <c r="G41" t="str">
        <f t="shared" si="0"/>
        <v/>
      </c>
      <c r="H41" s="8">
        <v>0</v>
      </c>
    </row>
    <row r="42" spans="1:8" x14ac:dyDescent="0.3">
      <c r="A42" t="s">
        <v>478</v>
      </c>
      <c r="B42" t="s">
        <v>33</v>
      </c>
      <c r="C42" t="s">
        <v>20</v>
      </c>
      <c r="D42" t="s">
        <v>27</v>
      </c>
      <c r="E42">
        <v>2</v>
      </c>
      <c r="F42" s="8">
        <v>0</v>
      </c>
      <c r="G42" t="str">
        <f t="shared" si="0"/>
        <v/>
      </c>
      <c r="H42" s="8">
        <v>0</v>
      </c>
    </row>
    <row r="43" spans="1:8" x14ac:dyDescent="0.3">
      <c r="A43" t="s">
        <v>246</v>
      </c>
      <c r="B43" t="s">
        <v>33</v>
      </c>
      <c r="C43" t="s">
        <v>20</v>
      </c>
      <c r="D43" t="s">
        <v>27</v>
      </c>
      <c r="E43">
        <v>9</v>
      </c>
      <c r="F43" s="8">
        <v>0</v>
      </c>
      <c r="G43" t="str">
        <f t="shared" si="0"/>
        <v/>
      </c>
      <c r="H43" s="8">
        <v>0</v>
      </c>
    </row>
    <row r="44" spans="1:8" x14ac:dyDescent="0.3">
      <c r="A44" t="s">
        <v>383</v>
      </c>
      <c r="B44" t="s">
        <v>33</v>
      </c>
      <c r="C44" t="s">
        <v>20</v>
      </c>
      <c r="D44" t="s">
        <v>27</v>
      </c>
      <c r="E44">
        <v>5</v>
      </c>
      <c r="F44" s="8">
        <v>0</v>
      </c>
      <c r="G44" t="str">
        <f t="shared" si="0"/>
        <v/>
      </c>
      <c r="H44" s="8">
        <v>0</v>
      </c>
    </row>
    <row r="45" spans="1:8" x14ac:dyDescent="0.3">
      <c r="A45" t="s">
        <v>211</v>
      </c>
      <c r="B45" t="s">
        <v>33</v>
      </c>
      <c r="C45" t="s">
        <v>20</v>
      </c>
      <c r="D45" t="s">
        <v>48</v>
      </c>
      <c r="E45">
        <v>11</v>
      </c>
      <c r="F45" s="8">
        <v>0</v>
      </c>
      <c r="G45" t="str">
        <f t="shared" si="0"/>
        <v/>
      </c>
      <c r="H45" s="8">
        <v>0</v>
      </c>
    </row>
    <row r="46" spans="1:8" x14ac:dyDescent="0.3">
      <c r="A46" t="s">
        <v>32</v>
      </c>
      <c r="B46" t="s">
        <v>33</v>
      </c>
      <c r="C46" t="s">
        <v>20</v>
      </c>
      <c r="D46" t="s">
        <v>34</v>
      </c>
      <c r="E46">
        <v>100</v>
      </c>
      <c r="F46" s="8">
        <v>0</v>
      </c>
      <c r="G46" t="str">
        <f t="shared" si="0"/>
        <v/>
      </c>
      <c r="H46" s="8">
        <v>0</v>
      </c>
    </row>
    <row r="47" spans="1:8" x14ac:dyDescent="0.3">
      <c r="A47" t="s">
        <v>305</v>
      </c>
      <c r="B47" t="s">
        <v>33</v>
      </c>
      <c r="C47" t="s">
        <v>20</v>
      </c>
      <c r="D47" t="s">
        <v>27</v>
      </c>
      <c r="E47">
        <v>7</v>
      </c>
      <c r="F47" s="8">
        <v>0</v>
      </c>
      <c r="G47" t="str">
        <f t="shared" si="0"/>
        <v/>
      </c>
      <c r="H47" s="8">
        <v>0</v>
      </c>
    </row>
    <row r="48" spans="1:8" x14ac:dyDescent="0.3">
      <c r="A48" t="s">
        <v>133</v>
      </c>
      <c r="B48" t="s">
        <v>33</v>
      </c>
      <c r="C48" t="s">
        <v>20</v>
      </c>
      <c r="D48" t="s">
        <v>83</v>
      </c>
      <c r="E48">
        <v>19</v>
      </c>
      <c r="F48" s="8">
        <v>0</v>
      </c>
      <c r="G48" t="str">
        <f t="shared" si="0"/>
        <v/>
      </c>
      <c r="H48" s="8">
        <v>0</v>
      </c>
    </row>
    <row r="49" spans="1:9" x14ac:dyDescent="0.3">
      <c r="A49" t="s">
        <v>67</v>
      </c>
      <c r="B49" t="s">
        <v>33</v>
      </c>
      <c r="C49" t="s">
        <v>8</v>
      </c>
      <c r="D49" t="s">
        <v>9</v>
      </c>
      <c r="E49">
        <v>37</v>
      </c>
      <c r="F49" s="8">
        <v>0</v>
      </c>
      <c r="G49" t="str">
        <f t="shared" si="0"/>
        <v/>
      </c>
      <c r="H49" s="8">
        <v>0</v>
      </c>
    </row>
    <row r="50" spans="1:9" x14ac:dyDescent="0.3">
      <c r="A50" t="s">
        <v>150</v>
      </c>
      <c r="B50" t="s">
        <v>33</v>
      </c>
      <c r="C50" t="s">
        <v>8</v>
      </c>
      <c r="D50" t="s">
        <v>9</v>
      </c>
      <c r="E50">
        <v>16</v>
      </c>
      <c r="F50" s="8">
        <v>0</v>
      </c>
      <c r="G50" t="str">
        <f t="shared" si="0"/>
        <v/>
      </c>
      <c r="H50" s="8">
        <v>0</v>
      </c>
    </row>
    <row r="51" spans="1:9" x14ac:dyDescent="0.3">
      <c r="A51" t="s">
        <v>176</v>
      </c>
      <c r="B51" t="s">
        <v>104</v>
      </c>
      <c r="C51" t="s">
        <v>71</v>
      </c>
      <c r="D51" t="s">
        <v>72</v>
      </c>
      <c r="E51">
        <v>14</v>
      </c>
      <c r="F51" s="8">
        <v>9</v>
      </c>
      <c r="G51">
        <f t="shared" si="0"/>
        <v>7.1</v>
      </c>
      <c r="H51" s="8">
        <v>0</v>
      </c>
      <c r="I51">
        <v>7.1</v>
      </c>
    </row>
    <row r="52" spans="1:9" x14ac:dyDescent="0.3">
      <c r="A52" t="s">
        <v>566</v>
      </c>
      <c r="B52" t="s">
        <v>104</v>
      </c>
      <c r="C52" t="s">
        <v>71</v>
      </c>
      <c r="D52" t="s">
        <v>72</v>
      </c>
      <c r="E52">
        <v>1</v>
      </c>
      <c r="F52" s="8">
        <v>0</v>
      </c>
      <c r="G52" t="str">
        <f t="shared" si="0"/>
        <v/>
      </c>
      <c r="H52" s="8">
        <v>0</v>
      </c>
    </row>
    <row r="53" spans="1:9" x14ac:dyDescent="0.3">
      <c r="A53" t="s">
        <v>547</v>
      </c>
      <c r="B53" t="s">
        <v>104</v>
      </c>
      <c r="C53" t="s">
        <v>71</v>
      </c>
      <c r="D53" t="s">
        <v>72</v>
      </c>
      <c r="E53">
        <v>1</v>
      </c>
      <c r="F53" s="8">
        <v>0</v>
      </c>
      <c r="G53" t="str">
        <f t="shared" si="0"/>
        <v/>
      </c>
      <c r="H53" s="8">
        <v>0</v>
      </c>
    </row>
    <row r="54" spans="1:9" x14ac:dyDescent="0.3">
      <c r="A54" t="s">
        <v>453</v>
      </c>
      <c r="B54" t="s">
        <v>104</v>
      </c>
      <c r="C54" t="s">
        <v>16</v>
      </c>
      <c r="D54" t="s">
        <v>188</v>
      </c>
      <c r="E54">
        <v>3</v>
      </c>
      <c r="F54" s="8">
        <v>0</v>
      </c>
      <c r="G54" t="str">
        <f t="shared" si="0"/>
        <v/>
      </c>
      <c r="H54" s="8">
        <v>0</v>
      </c>
      <c r="I54" s="1" t="s">
        <v>755</v>
      </c>
    </row>
    <row r="55" spans="1:9" x14ac:dyDescent="0.3">
      <c r="A55" t="s">
        <v>427</v>
      </c>
      <c r="B55" t="s">
        <v>104</v>
      </c>
      <c r="C55" t="s">
        <v>16</v>
      </c>
      <c r="D55" t="s">
        <v>188</v>
      </c>
      <c r="E55">
        <v>4</v>
      </c>
      <c r="F55" s="8">
        <v>0</v>
      </c>
      <c r="G55" t="str">
        <f t="shared" si="0"/>
        <v/>
      </c>
      <c r="H55" s="8">
        <v>0</v>
      </c>
    </row>
    <row r="56" spans="1:9" x14ac:dyDescent="0.3">
      <c r="A56" t="s">
        <v>343</v>
      </c>
      <c r="B56" t="s">
        <v>104</v>
      </c>
      <c r="C56" t="s">
        <v>16</v>
      </c>
      <c r="D56" t="s">
        <v>88</v>
      </c>
      <c r="E56">
        <v>6</v>
      </c>
      <c r="F56" s="8">
        <v>0</v>
      </c>
      <c r="G56" t="str">
        <f t="shared" si="0"/>
        <v/>
      </c>
      <c r="H56" s="8">
        <v>0</v>
      </c>
    </row>
    <row r="57" spans="1:9" x14ac:dyDescent="0.3">
      <c r="A57" t="s">
        <v>236</v>
      </c>
      <c r="B57" t="s">
        <v>104</v>
      </c>
      <c r="C57" t="s">
        <v>16</v>
      </c>
      <c r="D57" t="s">
        <v>88</v>
      </c>
      <c r="E57">
        <v>10</v>
      </c>
      <c r="F57" s="8">
        <v>0</v>
      </c>
      <c r="G57" t="str">
        <f t="shared" si="0"/>
        <v/>
      </c>
      <c r="H57" s="8">
        <v>0</v>
      </c>
    </row>
    <row r="58" spans="1:9" x14ac:dyDescent="0.3">
      <c r="A58" t="s">
        <v>315</v>
      </c>
      <c r="B58" t="s">
        <v>104</v>
      </c>
      <c r="C58" t="s">
        <v>16</v>
      </c>
      <c r="D58" t="s">
        <v>171</v>
      </c>
      <c r="E58">
        <v>7</v>
      </c>
      <c r="F58" s="8">
        <v>0</v>
      </c>
      <c r="G58">
        <f t="shared" si="0"/>
        <v>7.1</v>
      </c>
      <c r="H58" s="8">
        <v>0</v>
      </c>
      <c r="I58">
        <v>7.1</v>
      </c>
    </row>
    <row r="59" spans="1:9" x14ac:dyDescent="0.3">
      <c r="A59" t="s">
        <v>390</v>
      </c>
      <c r="B59" t="s">
        <v>104</v>
      </c>
      <c r="C59" t="s">
        <v>16</v>
      </c>
      <c r="D59" t="s">
        <v>146</v>
      </c>
      <c r="E59">
        <v>5</v>
      </c>
      <c r="F59" s="8">
        <v>0</v>
      </c>
      <c r="G59">
        <f t="shared" si="0"/>
        <v>7.3</v>
      </c>
      <c r="H59" s="8">
        <v>0</v>
      </c>
      <c r="I59">
        <v>7.3</v>
      </c>
    </row>
    <row r="60" spans="1:9" x14ac:dyDescent="0.3">
      <c r="A60" t="s">
        <v>405</v>
      </c>
      <c r="B60" t="s">
        <v>104</v>
      </c>
      <c r="C60" t="s">
        <v>16</v>
      </c>
      <c r="D60" t="s">
        <v>215</v>
      </c>
      <c r="E60">
        <v>5</v>
      </c>
      <c r="F60" s="8">
        <v>0</v>
      </c>
      <c r="G60">
        <f t="shared" si="0"/>
        <v>6.6</v>
      </c>
      <c r="H60" s="8">
        <v>0</v>
      </c>
      <c r="I60">
        <v>6.6</v>
      </c>
    </row>
    <row r="61" spans="1:9" x14ac:dyDescent="0.3">
      <c r="A61" t="s">
        <v>345</v>
      </c>
      <c r="B61" t="s">
        <v>104</v>
      </c>
      <c r="C61" t="s">
        <v>16</v>
      </c>
      <c r="D61" t="s">
        <v>111</v>
      </c>
      <c r="E61">
        <v>6</v>
      </c>
      <c r="F61" s="8">
        <v>0</v>
      </c>
      <c r="G61">
        <f t="shared" si="0"/>
        <v>6.2</v>
      </c>
      <c r="H61" s="8">
        <v>0</v>
      </c>
      <c r="I61">
        <v>6.2</v>
      </c>
    </row>
    <row r="62" spans="1:9" x14ac:dyDescent="0.3">
      <c r="A62" t="s">
        <v>306</v>
      </c>
      <c r="B62" t="s">
        <v>104</v>
      </c>
      <c r="C62" t="s">
        <v>20</v>
      </c>
      <c r="D62" t="s">
        <v>27</v>
      </c>
      <c r="E62">
        <v>7</v>
      </c>
      <c r="F62" s="8">
        <v>0</v>
      </c>
      <c r="G62">
        <f t="shared" si="0"/>
        <v>7.1</v>
      </c>
      <c r="H62" s="8">
        <v>0</v>
      </c>
      <c r="I62">
        <v>7.1</v>
      </c>
    </row>
    <row r="63" spans="1:9" x14ac:dyDescent="0.3">
      <c r="A63" t="s">
        <v>421</v>
      </c>
      <c r="B63" t="s">
        <v>104</v>
      </c>
      <c r="C63" t="s">
        <v>20</v>
      </c>
      <c r="D63" t="s">
        <v>27</v>
      </c>
      <c r="E63">
        <v>4</v>
      </c>
      <c r="F63" s="8">
        <v>0</v>
      </c>
      <c r="G63">
        <f t="shared" si="0"/>
        <v>7.3</v>
      </c>
      <c r="H63" s="8">
        <v>0</v>
      </c>
      <c r="I63">
        <v>7.3</v>
      </c>
    </row>
    <row r="64" spans="1:9" x14ac:dyDescent="0.3">
      <c r="A64" t="s">
        <v>224</v>
      </c>
      <c r="B64" t="s">
        <v>104</v>
      </c>
      <c r="C64" t="s">
        <v>20</v>
      </c>
      <c r="D64" t="s">
        <v>23</v>
      </c>
      <c r="E64">
        <v>10</v>
      </c>
      <c r="F64" s="8">
        <v>0</v>
      </c>
      <c r="G64">
        <f t="shared" si="0"/>
        <v>6</v>
      </c>
      <c r="H64" s="8">
        <v>0</v>
      </c>
      <c r="I64">
        <v>6</v>
      </c>
    </row>
    <row r="65" spans="1:9" x14ac:dyDescent="0.3">
      <c r="A65" t="s">
        <v>379</v>
      </c>
      <c r="B65" t="s">
        <v>104</v>
      </c>
      <c r="C65" t="s">
        <v>20</v>
      </c>
      <c r="D65" t="s">
        <v>96</v>
      </c>
      <c r="E65">
        <v>5</v>
      </c>
      <c r="F65" s="8">
        <v>0</v>
      </c>
      <c r="G65">
        <f t="shared" si="0"/>
        <v>6.4</v>
      </c>
      <c r="H65" s="8">
        <v>0</v>
      </c>
      <c r="I65">
        <v>6.4</v>
      </c>
    </row>
    <row r="66" spans="1:9" x14ac:dyDescent="0.3">
      <c r="A66" t="s">
        <v>515</v>
      </c>
      <c r="B66" t="s">
        <v>104</v>
      </c>
      <c r="C66" t="s">
        <v>20</v>
      </c>
      <c r="D66" t="s">
        <v>27</v>
      </c>
      <c r="E66">
        <v>1</v>
      </c>
      <c r="F66" s="8">
        <v>0</v>
      </c>
      <c r="G66" t="str">
        <f t="shared" si="0"/>
        <v/>
      </c>
      <c r="H66" s="8">
        <v>0</v>
      </c>
    </row>
    <row r="67" spans="1:9" x14ac:dyDescent="0.3">
      <c r="A67" t="s">
        <v>414</v>
      </c>
      <c r="B67" t="s">
        <v>104</v>
      </c>
      <c r="C67" t="s">
        <v>20</v>
      </c>
      <c r="D67" t="s">
        <v>27</v>
      </c>
      <c r="E67">
        <v>4</v>
      </c>
      <c r="F67" s="8">
        <v>0</v>
      </c>
      <c r="G67" t="str">
        <f t="shared" si="0"/>
        <v/>
      </c>
      <c r="H67" s="8">
        <v>0</v>
      </c>
    </row>
    <row r="68" spans="1:9" x14ac:dyDescent="0.3">
      <c r="A68" t="s">
        <v>328</v>
      </c>
      <c r="B68" t="s">
        <v>104</v>
      </c>
      <c r="C68" t="s">
        <v>20</v>
      </c>
      <c r="D68" t="s">
        <v>27</v>
      </c>
      <c r="E68">
        <v>6</v>
      </c>
      <c r="F68" s="8">
        <v>0</v>
      </c>
      <c r="G68">
        <f t="shared" ref="G68:G131" si="1">IFERROR(AVERAGE(I68:AT68),"")</f>
        <v>8.4</v>
      </c>
      <c r="H68" s="8">
        <v>0</v>
      </c>
      <c r="I68">
        <v>8.4</v>
      </c>
    </row>
    <row r="69" spans="1:9" x14ac:dyDescent="0.3">
      <c r="A69" t="s">
        <v>307</v>
      </c>
      <c r="B69" t="s">
        <v>104</v>
      </c>
      <c r="C69" t="s">
        <v>20</v>
      </c>
      <c r="D69" t="s">
        <v>27</v>
      </c>
      <c r="E69">
        <v>7</v>
      </c>
      <c r="F69" s="8">
        <v>0</v>
      </c>
      <c r="G69">
        <f t="shared" si="1"/>
        <v>6.8</v>
      </c>
      <c r="H69" s="8">
        <v>0</v>
      </c>
      <c r="I69">
        <v>6.8</v>
      </c>
    </row>
    <row r="70" spans="1:9" x14ac:dyDescent="0.3">
      <c r="A70" t="s">
        <v>506</v>
      </c>
      <c r="B70" t="s">
        <v>104</v>
      </c>
      <c r="C70" t="s">
        <v>8</v>
      </c>
      <c r="D70" t="s">
        <v>8</v>
      </c>
      <c r="E70">
        <v>1</v>
      </c>
      <c r="F70" s="8">
        <v>0</v>
      </c>
      <c r="G70" t="str">
        <f t="shared" si="1"/>
        <v/>
      </c>
      <c r="H70" s="8">
        <v>0</v>
      </c>
    </row>
    <row r="71" spans="1:9" x14ac:dyDescent="0.3">
      <c r="A71" t="s">
        <v>375</v>
      </c>
      <c r="B71" t="s">
        <v>104</v>
      </c>
      <c r="C71" t="s">
        <v>8</v>
      </c>
      <c r="D71" t="s">
        <v>9</v>
      </c>
      <c r="E71">
        <v>5</v>
      </c>
      <c r="F71" s="8">
        <v>0</v>
      </c>
      <c r="G71">
        <f t="shared" si="1"/>
        <v>6.8</v>
      </c>
      <c r="H71" s="8">
        <v>0</v>
      </c>
      <c r="I71">
        <v>6.8</v>
      </c>
    </row>
    <row r="72" spans="1:9" x14ac:dyDescent="0.3">
      <c r="A72" t="s">
        <v>128</v>
      </c>
      <c r="B72" t="s">
        <v>104</v>
      </c>
      <c r="C72" t="s">
        <v>8</v>
      </c>
      <c r="D72" t="s">
        <v>8</v>
      </c>
      <c r="E72">
        <v>20</v>
      </c>
      <c r="F72" s="8">
        <v>0</v>
      </c>
      <c r="G72" t="str">
        <f t="shared" si="1"/>
        <v/>
      </c>
      <c r="H72" s="8">
        <v>0</v>
      </c>
    </row>
    <row r="73" spans="1:9" x14ac:dyDescent="0.3">
      <c r="A73" t="s">
        <v>103</v>
      </c>
      <c r="B73" t="s">
        <v>104</v>
      </c>
      <c r="C73" t="s">
        <v>8</v>
      </c>
      <c r="D73" t="s">
        <v>9</v>
      </c>
      <c r="E73">
        <v>24</v>
      </c>
      <c r="F73" s="8">
        <v>0</v>
      </c>
      <c r="G73" t="str">
        <f t="shared" si="1"/>
        <v/>
      </c>
      <c r="H73" s="8">
        <v>0</v>
      </c>
    </row>
    <row r="74" spans="1:9" x14ac:dyDescent="0.3">
      <c r="A74" t="s">
        <v>208</v>
      </c>
      <c r="B74" t="s">
        <v>104</v>
      </c>
      <c r="C74" t="s">
        <v>8</v>
      </c>
      <c r="D74" t="s">
        <v>21</v>
      </c>
      <c r="E74">
        <v>11</v>
      </c>
      <c r="F74" s="8">
        <v>0</v>
      </c>
      <c r="G74">
        <f t="shared" si="1"/>
        <v>6.8</v>
      </c>
      <c r="H74" s="8">
        <v>0</v>
      </c>
      <c r="I74">
        <v>6.8</v>
      </c>
    </row>
    <row r="75" spans="1:9" x14ac:dyDescent="0.3">
      <c r="A75" t="s">
        <v>369</v>
      </c>
      <c r="B75" t="s">
        <v>104</v>
      </c>
      <c r="C75" t="s">
        <v>8</v>
      </c>
      <c r="D75" t="s">
        <v>9</v>
      </c>
      <c r="E75">
        <v>5</v>
      </c>
      <c r="F75" s="8">
        <v>0</v>
      </c>
      <c r="G75">
        <f t="shared" si="1"/>
        <v>7.2</v>
      </c>
      <c r="H75" s="8">
        <v>0</v>
      </c>
      <c r="I75">
        <v>7.2</v>
      </c>
    </row>
    <row r="76" spans="1:9" x14ac:dyDescent="0.3">
      <c r="A76" t="s">
        <v>260</v>
      </c>
      <c r="B76" t="s">
        <v>104</v>
      </c>
      <c r="C76" t="s">
        <v>8</v>
      </c>
      <c r="D76" t="s">
        <v>9</v>
      </c>
      <c r="E76">
        <v>8</v>
      </c>
      <c r="F76" s="8">
        <v>0</v>
      </c>
      <c r="G76" t="str">
        <f t="shared" si="1"/>
        <v/>
      </c>
      <c r="H76" s="8">
        <v>0</v>
      </c>
      <c r="I76" s="1" t="s">
        <v>755</v>
      </c>
    </row>
    <row r="77" spans="1:9" x14ac:dyDescent="0.3">
      <c r="A77" t="s">
        <v>507</v>
      </c>
      <c r="B77" t="s">
        <v>104</v>
      </c>
      <c r="C77" t="s">
        <v>8</v>
      </c>
      <c r="D77" t="s">
        <v>9</v>
      </c>
      <c r="E77">
        <v>1</v>
      </c>
      <c r="F77" s="8">
        <v>0</v>
      </c>
      <c r="G77" t="str">
        <f t="shared" si="1"/>
        <v/>
      </c>
      <c r="H77" s="8">
        <v>0</v>
      </c>
    </row>
    <row r="78" spans="1:9" x14ac:dyDescent="0.3">
      <c r="A78" t="s">
        <v>89</v>
      </c>
      <c r="B78" t="s">
        <v>19</v>
      </c>
      <c r="C78" t="s">
        <v>71</v>
      </c>
      <c r="D78" t="s">
        <v>72</v>
      </c>
      <c r="E78">
        <v>28</v>
      </c>
      <c r="F78" s="8">
        <v>9</v>
      </c>
      <c r="G78" t="str">
        <f t="shared" si="1"/>
        <v/>
      </c>
      <c r="H78" s="8">
        <v>0</v>
      </c>
    </row>
    <row r="79" spans="1:9" x14ac:dyDescent="0.3">
      <c r="A79" t="s">
        <v>540</v>
      </c>
      <c r="B79" t="s">
        <v>19</v>
      </c>
      <c r="C79" t="s">
        <v>71</v>
      </c>
      <c r="D79" t="s">
        <v>72</v>
      </c>
      <c r="E79">
        <v>1</v>
      </c>
      <c r="F79" s="8">
        <v>0</v>
      </c>
      <c r="G79" t="str">
        <f t="shared" si="1"/>
        <v/>
      </c>
      <c r="H79" s="8">
        <v>0</v>
      </c>
    </row>
    <row r="80" spans="1:9" x14ac:dyDescent="0.3">
      <c r="A80" t="s">
        <v>557</v>
      </c>
      <c r="B80" t="s">
        <v>19</v>
      </c>
      <c r="C80" t="s">
        <v>71</v>
      </c>
      <c r="D80" t="s">
        <v>72</v>
      </c>
      <c r="E80">
        <v>1</v>
      </c>
      <c r="F80" s="8">
        <v>0</v>
      </c>
      <c r="G80" t="str">
        <f t="shared" si="1"/>
        <v/>
      </c>
      <c r="H80" s="8">
        <v>0</v>
      </c>
    </row>
    <row r="81" spans="1:9" x14ac:dyDescent="0.3">
      <c r="A81" t="s">
        <v>189</v>
      </c>
      <c r="B81" t="s">
        <v>19</v>
      </c>
      <c r="C81" t="s">
        <v>16</v>
      </c>
      <c r="D81" t="s">
        <v>111</v>
      </c>
      <c r="E81">
        <v>13</v>
      </c>
      <c r="F81" s="8">
        <v>0</v>
      </c>
      <c r="G81">
        <f t="shared" si="1"/>
        <v>7.4</v>
      </c>
      <c r="H81" s="8">
        <v>0</v>
      </c>
      <c r="I81" s="1">
        <v>7.4</v>
      </c>
    </row>
    <row r="82" spans="1:9" x14ac:dyDescent="0.3">
      <c r="A82" t="s">
        <v>169</v>
      </c>
      <c r="B82" t="s">
        <v>19</v>
      </c>
      <c r="C82" t="s">
        <v>16</v>
      </c>
      <c r="D82" t="s">
        <v>131</v>
      </c>
      <c r="E82">
        <v>14</v>
      </c>
      <c r="F82" s="8">
        <v>0</v>
      </c>
      <c r="G82">
        <f t="shared" si="1"/>
        <v>6.3</v>
      </c>
      <c r="H82" s="8">
        <v>0</v>
      </c>
      <c r="I82">
        <v>6.3</v>
      </c>
    </row>
    <row r="83" spans="1:9" x14ac:dyDescent="0.3">
      <c r="A83" t="s">
        <v>528</v>
      </c>
      <c r="B83" t="s">
        <v>19</v>
      </c>
      <c r="C83" t="s">
        <v>16</v>
      </c>
      <c r="D83" t="s">
        <v>88</v>
      </c>
      <c r="E83">
        <v>1</v>
      </c>
      <c r="F83" s="8">
        <v>0</v>
      </c>
      <c r="G83" t="str">
        <f t="shared" si="1"/>
        <v/>
      </c>
      <c r="H83" s="8">
        <v>0</v>
      </c>
    </row>
    <row r="84" spans="1:9" x14ac:dyDescent="0.3">
      <c r="A84" t="s">
        <v>199</v>
      </c>
      <c r="B84" t="s">
        <v>19</v>
      </c>
      <c r="C84" t="s">
        <v>16</v>
      </c>
      <c r="D84" t="s">
        <v>188</v>
      </c>
      <c r="E84">
        <v>12</v>
      </c>
      <c r="F84" s="8">
        <v>0</v>
      </c>
      <c r="G84" t="str">
        <f t="shared" si="1"/>
        <v/>
      </c>
      <c r="H84" s="8">
        <v>0</v>
      </c>
    </row>
    <row r="85" spans="1:9" x14ac:dyDescent="0.3">
      <c r="A85" t="s">
        <v>310</v>
      </c>
      <c r="B85" t="s">
        <v>19</v>
      </c>
      <c r="C85" t="s">
        <v>16</v>
      </c>
      <c r="D85" t="s">
        <v>88</v>
      </c>
      <c r="E85">
        <v>7</v>
      </c>
      <c r="F85" s="8">
        <v>0</v>
      </c>
      <c r="G85" t="str">
        <f t="shared" si="1"/>
        <v/>
      </c>
      <c r="H85" s="8">
        <v>0</v>
      </c>
    </row>
    <row r="86" spans="1:9" x14ac:dyDescent="0.3">
      <c r="A86" t="s">
        <v>154</v>
      </c>
      <c r="B86" t="s">
        <v>19</v>
      </c>
      <c r="C86" t="s">
        <v>16</v>
      </c>
      <c r="D86" t="s">
        <v>88</v>
      </c>
      <c r="E86">
        <v>16</v>
      </c>
      <c r="F86" s="8">
        <v>0</v>
      </c>
      <c r="G86">
        <f t="shared" si="1"/>
        <v>6.1</v>
      </c>
      <c r="H86" s="8">
        <v>0</v>
      </c>
      <c r="I86">
        <v>6.1</v>
      </c>
    </row>
    <row r="87" spans="1:9" x14ac:dyDescent="0.3">
      <c r="A87" t="s">
        <v>393</v>
      </c>
      <c r="B87" t="s">
        <v>19</v>
      </c>
      <c r="C87" t="s">
        <v>16</v>
      </c>
      <c r="D87" t="s">
        <v>131</v>
      </c>
      <c r="E87">
        <v>5</v>
      </c>
      <c r="F87" s="8">
        <v>0</v>
      </c>
      <c r="G87" t="str">
        <f t="shared" si="1"/>
        <v/>
      </c>
      <c r="H87" s="8">
        <v>0</v>
      </c>
    </row>
    <row r="88" spans="1:9" x14ac:dyDescent="0.3">
      <c r="A88" t="s">
        <v>252</v>
      </c>
      <c r="B88" t="s">
        <v>19</v>
      </c>
      <c r="C88" t="s">
        <v>16</v>
      </c>
      <c r="D88" t="s">
        <v>188</v>
      </c>
      <c r="E88">
        <v>9</v>
      </c>
      <c r="F88" s="8">
        <v>0</v>
      </c>
      <c r="G88">
        <f t="shared" si="1"/>
        <v>6.2</v>
      </c>
      <c r="H88" s="8">
        <v>0</v>
      </c>
      <c r="I88">
        <v>6.2</v>
      </c>
    </row>
    <row r="89" spans="1:9" x14ac:dyDescent="0.3">
      <c r="A89" t="s">
        <v>458</v>
      </c>
      <c r="B89" t="s">
        <v>19</v>
      </c>
      <c r="C89" t="s">
        <v>16</v>
      </c>
      <c r="D89" t="s">
        <v>131</v>
      </c>
      <c r="E89">
        <v>3</v>
      </c>
      <c r="F89" s="8">
        <v>0</v>
      </c>
      <c r="G89" t="str">
        <f t="shared" si="1"/>
        <v/>
      </c>
      <c r="H89" s="8">
        <v>0</v>
      </c>
    </row>
    <row r="90" spans="1:9" x14ac:dyDescent="0.3">
      <c r="A90" t="s">
        <v>378</v>
      </c>
      <c r="B90" t="s">
        <v>19</v>
      </c>
      <c r="C90" t="s">
        <v>20</v>
      </c>
      <c r="D90" t="s">
        <v>34</v>
      </c>
      <c r="E90">
        <v>5</v>
      </c>
      <c r="F90" s="8">
        <v>0</v>
      </c>
      <c r="G90" t="str">
        <f t="shared" si="1"/>
        <v/>
      </c>
      <c r="H90" s="8">
        <v>0</v>
      </c>
    </row>
    <row r="91" spans="1:9" x14ac:dyDescent="0.3">
      <c r="A91" t="s">
        <v>49</v>
      </c>
      <c r="B91" t="s">
        <v>19</v>
      </c>
      <c r="C91" t="s">
        <v>20</v>
      </c>
      <c r="D91" t="s">
        <v>48</v>
      </c>
      <c r="E91">
        <v>51</v>
      </c>
      <c r="F91" s="8">
        <v>0</v>
      </c>
      <c r="G91">
        <f t="shared" si="1"/>
        <v>6.6</v>
      </c>
      <c r="H91" s="8">
        <v>0</v>
      </c>
      <c r="I91">
        <v>6.6</v>
      </c>
    </row>
    <row r="92" spans="1:9" x14ac:dyDescent="0.3">
      <c r="A92" t="s">
        <v>227</v>
      </c>
      <c r="B92" t="s">
        <v>19</v>
      </c>
      <c r="C92" t="s">
        <v>20</v>
      </c>
      <c r="D92" t="s">
        <v>23</v>
      </c>
      <c r="E92">
        <v>10</v>
      </c>
      <c r="F92" s="8">
        <v>0</v>
      </c>
      <c r="G92" t="str">
        <f t="shared" si="1"/>
        <v/>
      </c>
      <c r="H92" s="8">
        <v>0</v>
      </c>
    </row>
    <row r="93" spans="1:9" x14ac:dyDescent="0.3">
      <c r="A93" t="s">
        <v>56</v>
      </c>
      <c r="B93" t="s">
        <v>19</v>
      </c>
      <c r="C93" t="s">
        <v>20</v>
      </c>
      <c r="D93" t="s">
        <v>23</v>
      </c>
      <c r="E93">
        <v>45</v>
      </c>
      <c r="F93" s="8">
        <v>0</v>
      </c>
      <c r="G93">
        <f t="shared" si="1"/>
        <v>7.1</v>
      </c>
      <c r="H93" s="8">
        <v>0</v>
      </c>
      <c r="I93">
        <v>7.1</v>
      </c>
    </row>
    <row r="94" spans="1:9" x14ac:dyDescent="0.3">
      <c r="A94" t="s">
        <v>477</v>
      </c>
      <c r="B94" s="1" t="s">
        <v>104</v>
      </c>
      <c r="C94" t="s">
        <v>20</v>
      </c>
      <c r="D94" t="s">
        <v>96</v>
      </c>
      <c r="E94">
        <v>2</v>
      </c>
      <c r="F94" s="8">
        <v>0</v>
      </c>
      <c r="G94" t="str">
        <f t="shared" si="1"/>
        <v/>
      </c>
      <c r="H94" s="8">
        <v>0</v>
      </c>
    </row>
    <row r="95" spans="1:9" x14ac:dyDescent="0.3">
      <c r="A95" t="s">
        <v>513</v>
      </c>
      <c r="B95" t="s">
        <v>19</v>
      </c>
      <c r="C95" t="s">
        <v>20</v>
      </c>
      <c r="D95" t="s">
        <v>23</v>
      </c>
      <c r="E95">
        <v>1</v>
      </c>
      <c r="F95" s="8">
        <v>0</v>
      </c>
      <c r="G95" t="str">
        <f t="shared" si="1"/>
        <v/>
      </c>
      <c r="H95" s="8">
        <v>0</v>
      </c>
    </row>
    <row r="96" spans="1:9" x14ac:dyDescent="0.3">
      <c r="A96" t="s">
        <v>209</v>
      </c>
      <c r="B96" t="s">
        <v>19</v>
      </c>
      <c r="C96" t="s">
        <v>20</v>
      </c>
      <c r="D96" t="s">
        <v>48</v>
      </c>
      <c r="E96">
        <v>11</v>
      </c>
      <c r="F96" s="8">
        <v>0</v>
      </c>
      <c r="G96">
        <f t="shared" si="1"/>
        <v>6.9</v>
      </c>
      <c r="H96" s="8">
        <v>0</v>
      </c>
      <c r="I96">
        <v>6.9</v>
      </c>
    </row>
    <row r="97" spans="1:9" x14ac:dyDescent="0.3">
      <c r="A97" t="s">
        <v>290</v>
      </c>
      <c r="B97" t="s">
        <v>19</v>
      </c>
      <c r="C97" t="s">
        <v>20</v>
      </c>
      <c r="D97" t="s">
        <v>27</v>
      </c>
      <c r="E97">
        <v>7</v>
      </c>
      <c r="F97" s="8">
        <v>0</v>
      </c>
      <c r="G97">
        <f t="shared" si="1"/>
        <v>7.7</v>
      </c>
      <c r="H97" s="8">
        <v>0</v>
      </c>
      <c r="I97">
        <v>7.7</v>
      </c>
    </row>
    <row r="98" spans="1:9" x14ac:dyDescent="0.3">
      <c r="A98" t="s">
        <v>18</v>
      </c>
      <c r="B98" t="s">
        <v>19</v>
      </c>
      <c r="C98" t="s">
        <v>20</v>
      </c>
      <c r="D98" t="s">
        <v>21</v>
      </c>
      <c r="E98">
        <v>125</v>
      </c>
      <c r="F98" s="8">
        <v>0</v>
      </c>
      <c r="G98">
        <f t="shared" si="1"/>
        <v>6.5</v>
      </c>
      <c r="H98" s="8">
        <v>0</v>
      </c>
      <c r="I98">
        <v>6.5</v>
      </c>
    </row>
    <row r="99" spans="1:9" x14ac:dyDescent="0.3">
      <c r="A99" t="s">
        <v>136</v>
      </c>
      <c r="B99" t="s">
        <v>19</v>
      </c>
      <c r="C99" t="s">
        <v>20</v>
      </c>
      <c r="D99" t="s">
        <v>27</v>
      </c>
      <c r="E99">
        <v>19</v>
      </c>
      <c r="F99" s="8">
        <v>0</v>
      </c>
      <c r="G99">
        <f t="shared" si="1"/>
        <v>6.3</v>
      </c>
      <c r="H99" s="8">
        <v>0</v>
      </c>
      <c r="I99">
        <v>6.3</v>
      </c>
    </row>
    <row r="100" spans="1:9" x14ac:dyDescent="0.3">
      <c r="A100" t="s">
        <v>151</v>
      </c>
      <c r="B100" t="s">
        <v>19</v>
      </c>
      <c r="C100" t="s">
        <v>20</v>
      </c>
      <c r="D100" t="s">
        <v>34</v>
      </c>
      <c r="E100">
        <v>16</v>
      </c>
      <c r="F100" s="8">
        <v>0</v>
      </c>
      <c r="G100">
        <f t="shared" si="1"/>
        <v>5.5</v>
      </c>
      <c r="H100" s="8">
        <v>0</v>
      </c>
      <c r="I100">
        <v>5.5</v>
      </c>
    </row>
    <row r="101" spans="1:9" x14ac:dyDescent="0.3">
      <c r="A101" t="s">
        <v>509</v>
      </c>
      <c r="B101" t="s">
        <v>19</v>
      </c>
      <c r="C101" t="s">
        <v>8</v>
      </c>
      <c r="D101" t="s">
        <v>9</v>
      </c>
      <c r="E101">
        <v>1</v>
      </c>
      <c r="F101" s="8">
        <v>0</v>
      </c>
      <c r="G101" t="str">
        <f t="shared" si="1"/>
        <v/>
      </c>
      <c r="H101" s="8">
        <v>0</v>
      </c>
    </row>
    <row r="102" spans="1:9" x14ac:dyDescent="0.3">
      <c r="A102" t="s">
        <v>98</v>
      </c>
      <c r="B102" t="s">
        <v>19</v>
      </c>
      <c r="C102" t="s">
        <v>8</v>
      </c>
      <c r="D102" t="s">
        <v>34</v>
      </c>
      <c r="E102">
        <v>25</v>
      </c>
      <c r="F102" s="8">
        <v>0</v>
      </c>
      <c r="G102">
        <f t="shared" si="1"/>
        <v>6.8</v>
      </c>
      <c r="H102" s="8">
        <v>0</v>
      </c>
      <c r="I102">
        <v>6.8</v>
      </c>
    </row>
    <row r="103" spans="1:9" x14ac:dyDescent="0.3">
      <c r="A103" t="s">
        <v>37</v>
      </c>
      <c r="B103" t="s">
        <v>19</v>
      </c>
      <c r="C103" t="s">
        <v>8</v>
      </c>
      <c r="D103" t="s">
        <v>9</v>
      </c>
      <c r="E103">
        <v>79</v>
      </c>
      <c r="F103" s="8">
        <v>0</v>
      </c>
      <c r="G103">
        <f t="shared" si="1"/>
        <v>7.6</v>
      </c>
      <c r="H103" s="8">
        <v>0</v>
      </c>
      <c r="I103">
        <v>7.6</v>
      </c>
    </row>
    <row r="104" spans="1:9" x14ac:dyDescent="0.3">
      <c r="A104" t="s">
        <v>438</v>
      </c>
      <c r="B104" t="s">
        <v>19</v>
      </c>
      <c r="C104" t="s">
        <v>8</v>
      </c>
      <c r="D104" t="s">
        <v>34</v>
      </c>
      <c r="E104">
        <v>3</v>
      </c>
      <c r="F104" s="8">
        <v>0</v>
      </c>
      <c r="G104" t="str">
        <f t="shared" si="1"/>
        <v/>
      </c>
      <c r="H104" s="8">
        <v>0</v>
      </c>
    </row>
    <row r="105" spans="1:9" x14ac:dyDescent="0.3">
      <c r="A105" t="s">
        <v>377</v>
      </c>
      <c r="B105" t="s">
        <v>19</v>
      </c>
      <c r="C105" t="s">
        <v>8</v>
      </c>
      <c r="D105" t="s">
        <v>9</v>
      </c>
      <c r="E105">
        <v>5</v>
      </c>
      <c r="F105" s="8">
        <v>0</v>
      </c>
      <c r="G105" t="str">
        <f t="shared" si="1"/>
        <v/>
      </c>
      <c r="H105" s="8">
        <v>0</v>
      </c>
    </row>
    <row r="106" spans="1:9" x14ac:dyDescent="0.3">
      <c r="A106" t="s">
        <v>549</v>
      </c>
      <c r="B106" t="s">
        <v>31</v>
      </c>
      <c r="C106" t="s">
        <v>71</v>
      </c>
      <c r="D106" t="s">
        <v>72</v>
      </c>
      <c r="E106">
        <v>1</v>
      </c>
      <c r="F106" s="8">
        <v>9</v>
      </c>
      <c r="G106" t="str">
        <f t="shared" si="1"/>
        <v/>
      </c>
      <c r="H106" s="8">
        <v>0</v>
      </c>
    </row>
    <row r="107" spans="1:9" x14ac:dyDescent="0.3">
      <c r="A107" t="s">
        <v>112</v>
      </c>
      <c r="B107" t="s">
        <v>31</v>
      </c>
      <c r="C107" t="s">
        <v>71</v>
      </c>
      <c r="D107" t="s">
        <v>72</v>
      </c>
      <c r="E107">
        <v>23</v>
      </c>
      <c r="F107" s="8">
        <v>9</v>
      </c>
      <c r="G107" t="str">
        <f t="shared" si="1"/>
        <v/>
      </c>
      <c r="H107" s="8">
        <v>0</v>
      </c>
    </row>
    <row r="108" spans="1:9" x14ac:dyDescent="0.3">
      <c r="A108" t="s">
        <v>564</v>
      </c>
      <c r="B108" t="s">
        <v>31</v>
      </c>
      <c r="C108" t="s">
        <v>71</v>
      </c>
      <c r="D108" t="s">
        <v>72</v>
      </c>
      <c r="E108">
        <v>1</v>
      </c>
      <c r="F108" s="8">
        <v>0</v>
      </c>
      <c r="G108" t="str">
        <f t="shared" si="1"/>
        <v/>
      </c>
      <c r="H108" s="8">
        <v>0</v>
      </c>
    </row>
    <row r="109" spans="1:9" x14ac:dyDescent="0.3">
      <c r="A109" t="s">
        <v>161</v>
      </c>
      <c r="B109" t="s">
        <v>31</v>
      </c>
      <c r="C109" t="s">
        <v>16</v>
      </c>
      <c r="D109" t="s">
        <v>131</v>
      </c>
      <c r="E109">
        <v>15</v>
      </c>
      <c r="F109" s="8">
        <v>0</v>
      </c>
      <c r="G109" t="str">
        <f t="shared" si="1"/>
        <v/>
      </c>
      <c r="H109" s="8">
        <v>0</v>
      </c>
    </row>
    <row r="110" spans="1:9" x14ac:dyDescent="0.3">
      <c r="A110" t="s">
        <v>175</v>
      </c>
      <c r="B110" t="s">
        <v>31</v>
      </c>
      <c r="C110" t="s">
        <v>16</v>
      </c>
      <c r="D110" t="s">
        <v>88</v>
      </c>
      <c r="E110">
        <v>14</v>
      </c>
      <c r="F110" s="8">
        <v>0</v>
      </c>
      <c r="G110" t="str">
        <f t="shared" si="1"/>
        <v/>
      </c>
      <c r="H110" s="8">
        <v>0</v>
      </c>
    </row>
    <row r="111" spans="1:9" x14ac:dyDescent="0.3">
      <c r="A111" t="s">
        <v>200</v>
      </c>
      <c r="B111" t="s">
        <v>31</v>
      </c>
      <c r="C111" t="s">
        <v>16</v>
      </c>
      <c r="D111" t="s">
        <v>174</v>
      </c>
      <c r="E111">
        <v>12</v>
      </c>
      <c r="F111" s="8">
        <v>0</v>
      </c>
      <c r="G111" t="str">
        <f t="shared" si="1"/>
        <v/>
      </c>
      <c r="H111" s="8">
        <v>0</v>
      </c>
    </row>
    <row r="112" spans="1:9" x14ac:dyDescent="0.3">
      <c r="A112" t="s">
        <v>426</v>
      </c>
      <c r="B112" t="s">
        <v>31</v>
      </c>
      <c r="C112" t="s">
        <v>16</v>
      </c>
      <c r="D112" t="s">
        <v>131</v>
      </c>
      <c r="E112">
        <v>4</v>
      </c>
      <c r="F112" s="8">
        <v>0</v>
      </c>
      <c r="G112" t="str">
        <f t="shared" si="1"/>
        <v/>
      </c>
      <c r="H112" s="8">
        <v>0</v>
      </c>
    </row>
    <row r="113" spans="1:8" x14ac:dyDescent="0.3">
      <c r="A113" t="s">
        <v>360</v>
      </c>
      <c r="B113" t="s">
        <v>31</v>
      </c>
      <c r="C113" t="s">
        <v>16</v>
      </c>
      <c r="D113" t="s">
        <v>188</v>
      </c>
      <c r="E113">
        <v>6</v>
      </c>
      <c r="F113" s="8">
        <v>0</v>
      </c>
      <c r="G113" t="str">
        <f t="shared" si="1"/>
        <v/>
      </c>
      <c r="H113" s="8">
        <v>0</v>
      </c>
    </row>
    <row r="114" spans="1:8" x14ac:dyDescent="0.3">
      <c r="A114" t="s">
        <v>432</v>
      </c>
      <c r="B114" t="s">
        <v>31</v>
      </c>
      <c r="C114" t="s">
        <v>16</v>
      </c>
      <c r="D114" t="s">
        <v>88</v>
      </c>
      <c r="E114">
        <v>4</v>
      </c>
      <c r="F114" s="8">
        <v>0</v>
      </c>
      <c r="G114" t="str">
        <f t="shared" si="1"/>
        <v/>
      </c>
      <c r="H114" s="8">
        <v>0</v>
      </c>
    </row>
    <row r="115" spans="1:8" x14ac:dyDescent="0.3">
      <c r="A115" t="s">
        <v>434</v>
      </c>
      <c r="B115" t="s">
        <v>31</v>
      </c>
      <c r="C115" t="s">
        <v>16</v>
      </c>
      <c r="D115" t="s">
        <v>146</v>
      </c>
      <c r="E115">
        <v>4</v>
      </c>
      <c r="F115" s="8">
        <v>0</v>
      </c>
      <c r="G115" t="str">
        <f t="shared" si="1"/>
        <v/>
      </c>
      <c r="H115" s="8">
        <v>0</v>
      </c>
    </row>
    <row r="116" spans="1:8" x14ac:dyDescent="0.3">
      <c r="A116" t="s">
        <v>249</v>
      </c>
      <c r="B116" t="s">
        <v>31</v>
      </c>
      <c r="C116" t="s">
        <v>16</v>
      </c>
      <c r="D116" t="s">
        <v>146</v>
      </c>
      <c r="E116">
        <v>9</v>
      </c>
      <c r="F116" s="8">
        <v>0</v>
      </c>
      <c r="G116" t="str">
        <f t="shared" si="1"/>
        <v/>
      </c>
      <c r="H116" s="8">
        <v>0</v>
      </c>
    </row>
    <row r="117" spans="1:8" x14ac:dyDescent="0.3">
      <c r="A117" t="s">
        <v>231</v>
      </c>
      <c r="B117" t="s">
        <v>31</v>
      </c>
      <c r="C117" t="s">
        <v>16</v>
      </c>
      <c r="D117" t="s">
        <v>146</v>
      </c>
      <c r="E117">
        <v>10</v>
      </c>
      <c r="F117" s="8">
        <v>0</v>
      </c>
      <c r="G117" t="str">
        <f t="shared" si="1"/>
        <v/>
      </c>
      <c r="H117" s="8">
        <v>0</v>
      </c>
    </row>
    <row r="118" spans="1:8" x14ac:dyDescent="0.3">
      <c r="A118" t="s">
        <v>58</v>
      </c>
      <c r="B118" t="s">
        <v>31</v>
      </c>
      <c r="C118" t="s">
        <v>20</v>
      </c>
      <c r="D118" t="s">
        <v>23</v>
      </c>
      <c r="E118">
        <v>44</v>
      </c>
      <c r="F118" s="8">
        <v>0</v>
      </c>
      <c r="G118" t="str">
        <f t="shared" si="1"/>
        <v/>
      </c>
      <c r="H118" s="8">
        <v>0</v>
      </c>
    </row>
    <row r="119" spans="1:8" x14ac:dyDescent="0.3">
      <c r="A119" t="s">
        <v>420</v>
      </c>
      <c r="B119" t="s">
        <v>31</v>
      </c>
      <c r="C119" t="s">
        <v>20</v>
      </c>
      <c r="D119" t="s">
        <v>23</v>
      </c>
      <c r="E119">
        <v>4</v>
      </c>
      <c r="F119" s="8">
        <v>0</v>
      </c>
      <c r="G119" t="str">
        <f t="shared" si="1"/>
        <v/>
      </c>
      <c r="H119" s="8">
        <v>0</v>
      </c>
    </row>
    <row r="120" spans="1:8" x14ac:dyDescent="0.3">
      <c r="A120" t="s">
        <v>416</v>
      </c>
      <c r="B120" t="s">
        <v>31</v>
      </c>
      <c r="C120" t="s">
        <v>20</v>
      </c>
      <c r="D120" t="s">
        <v>23</v>
      </c>
      <c r="E120">
        <v>4</v>
      </c>
      <c r="F120" s="8">
        <v>0</v>
      </c>
      <c r="G120" t="str">
        <f t="shared" si="1"/>
        <v/>
      </c>
      <c r="H120" s="8">
        <v>0</v>
      </c>
    </row>
    <row r="121" spans="1:8" x14ac:dyDescent="0.3">
      <c r="A121" t="s">
        <v>197</v>
      </c>
      <c r="B121" t="s">
        <v>31</v>
      </c>
      <c r="C121" t="s">
        <v>20</v>
      </c>
      <c r="D121" t="s">
        <v>27</v>
      </c>
      <c r="E121">
        <v>12</v>
      </c>
      <c r="F121" s="8">
        <v>0</v>
      </c>
      <c r="G121" t="str">
        <f t="shared" si="1"/>
        <v/>
      </c>
      <c r="H121" s="8">
        <v>0</v>
      </c>
    </row>
    <row r="122" spans="1:8" x14ac:dyDescent="0.3">
      <c r="A122" t="s">
        <v>78</v>
      </c>
      <c r="B122" t="s">
        <v>31</v>
      </c>
      <c r="C122" t="s">
        <v>20</v>
      </c>
      <c r="D122" t="s">
        <v>21</v>
      </c>
      <c r="E122">
        <v>31</v>
      </c>
      <c r="F122" s="8">
        <v>0</v>
      </c>
      <c r="G122" t="str">
        <f t="shared" si="1"/>
        <v/>
      </c>
      <c r="H122" s="8">
        <v>0</v>
      </c>
    </row>
    <row r="123" spans="1:8" x14ac:dyDescent="0.3">
      <c r="A123" t="s">
        <v>167</v>
      </c>
      <c r="B123" t="s">
        <v>31</v>
      </c>
      <c r="C123" t="s">
        <v>20</v>
      </c>
      <c r="D123" t="s">
        <v>20</v>
      </c>
      <c r="E123">
        <v>14</v>
      </c>
      <c r="F123" s="8">
        <v>0</v>
      </c>
      <c r="G123" t="str">
        <f t="shared" si="1"/>
        <v/>
      </c>
      <c r="H123" s="8">
        <v>0</v>
      </c>
    </row>
    <row r="124" spans="1:8" x14ac:dyDescent="0.3">
      <c r="A124" t="s">
        <v>82</v>
      </c>
      <c r="B124" t="s">
        <v>31</v>
      </c>
      <c r="C124" t="s">
        <v>20</v>
      </c>
      <c r="D124" t="s">
        <v>83</v>
      </c>
      <c r="E124">
        <v>29</v>
      </c>
      <c r="F124" s="8">
        <v>0</v>
      </c>
      <c r="G124" t="str">
        <f t="shared" si="1"/>
        <v/>
      </c>
      <c r="H124" s="8">
        <v>0</v>
      </c>
    </row>
    <row r="125" spans="1:8" x14ac:dyDescent="0.3">
      <c r="A125" t="s">
        <v>184</v>
      </c>
      <c r="B125" t="s">
        <v>31</v>
      </c>
      <c r="C125" t="s">
        <v>20</v>
      </c>
      <c r="D125" t="s">
        <v>20</v>
      </c>
      <c r="E125">
        <v>13</v>
      </c>
      <c r="F125" s="8">
        <v>0</v>
      </c>
      <c r="G125" t="str">
        <f t="shared" si="1"/>
        <v/>
      </c>
      <c r="H125" s="8">
        <v>0</v>
      </c>
    </row>
    <row r="126" spans="1:8" x14ac:dyDescent="0.3">
      <c r="A126" t="s">
        <v>220</v>
      </c>
      <c r="B126" t="s">
        <v>31</v>
      </c>
      <c r="C126" t="s">
        <v>20</v>
      </c>
      <c r="D126" t="s">
        <v>27</v>
      </c>
      <c r="E126">
        <v>10</v>
      </c>
      <c r="F126" s="8">
        <v>0</v>
      </c>
      <c r="G126" t="str">
        <f t="shared" si="1"/>
        <v/>
      </c>
      <c r="H126" s="8">
        <v>0</v>
      </c>
    </row>
    <row r="127" spans="1:8" x14ac:dyDescent="0.3">
      <c r="A127" t="s">
        <v>30</v>
      </c>
      <c r="B127" t="s">
        <v>31</v>
      </c>
      <c r="C127" t="s">
        <v>8</v>
      </c>
      <c r="D127" t="s">
        <v>9</v>
      </c>
      <c r="E127">
        <v>100</v>
      </c>
      <c r="F127" s="8">
        <v>0</v>
      </c>
      <c r="G127" t="str">
        <f t="shared" si="1"/>
        <v/>
      </c>
      <c r="H127" s="8">
        <v>0</v>
      </c>
    </row>
    <row r="128" spans="1:8" x14ac:dyDescent="0.3">
      <c r="A128" t="s">
        <v>79</v>
      </c>
      <c r="B128" t="s">
        <v>31</v>
      </c>
      <c r="C128" t="s">
        <v>8</v>
      </c>
      <c r="D128" t="s">
        <v>9</v>
      </c>
      <c r="E128">
        <v>30</v>
      </c>
      <c r="F128" s="8">
        <v>0</v>
      </c>
      <c r="G128" t="str">
        <f t="shared" si="1"/>
        <v/>
      </c>
      <c r="H128" s="8">
        <v>0</v>
      </c>
    </row>
    <row r="129" spans="1:8" x14ac:dyDescent="0.3">
      <c r="A129" t="s">
        <v>436</v>
      </c>
      <c r="B129" t="s">
        <v>157</v>
      </c>
      <c r="C129" t="s">
        <v>71</v>
      </c>
      <c r="D129" t="s">
        <v>72</v>
      </c>
      <c r="E129">
        <v>4</v>
      </c>
      <c r="F129" s="8">
        <v>9</v>
      </c>
      <c r="G129" t="str">
        <f t="shared" si="1"/>
        <v/>
      </c>
      <c r="H129" s="8">
        <v>0</v>
      </c>
    </row>
    <row r="130" spans="1:8" x14ac:dyDescent="0.3">
      <c r="A130" t="s">
        <v>536</v>
      </c>
      <c r="B130" t="s">
        <v>157</v>
      </c>
      <c r="C130" t="s">
        <v>71</v>
      </c>
      <c r="D130" t="s">
        <v>72</v>
      </c>
      <c r="E130">
        <v>1</v>
      </c>
      <c r="F130" s="8">
        <v>0</v>
      </c>
      <c r="G130" t="str">
        <f t="shared" si="1"/>
        <v/>
      </c>
      <c r="H130" s="8">
        <v>0</v>
      </c>
    </row>
    <row r="131" spans="1:8" x14ac:dyDescent="0.3">
      <c r="A131" t="s">
        <v>437</v>
      </c>
      <c r="B131" t="s">
        <v>157</v>
      </c>
      <c r="C131" t="s">
        <v>71</v>
      </c>
      <c r="D131" t="s">
        <v>72</v>
      </c>
      <c r="E131">
        <v>4</v>
      </c>
      <c r="F131" s="8">
        <v>0</v>
      </c>
      <c r="G131" t="str">
        <f t="shared" si="1"/>
        <v/>
      </c>
      <c r="H131" s="8">
        <v>0</v>
      </c>
    </row>
    <row r="132" spans="1:8" x14ac:dyDescent="0.3">
      <c r="A132" t="s">
        <v>529</v>
      </c>
      <c r="B132" t="s">
        <v>157</v>
      </c>
      <c r="C132" t="s">
        <v>71</v>
      </c>
      <c r="D132" t="s">
        <v>72</v>
      </c>
      <c r="E132">
        <v>1</v>
      </c>
      <c r="F132" s="8">
        <v>0</v>
      </c>
      <c r="G132" t="str">
        <f t="shared" ref="G132:G195" si="2">IFERROR(AVERAGE(I132:AT132),"")</f>
        <v/>
      </c>
      <c r="H132" s="8">
        <v>0</v>
      </c>
    </row>
    <row r="133" spans="1:8" x14ac:dyDescent="0.3">
      <c r="A133" t="s">
        <v>422</v>
      </c>
      <c r="B133" t="s">
        <v>157</v>
      </c>
      <c r="C133" t="s">
        <v>16</v>
      </c>
      <c r="D133" t="s">
        <v>88</v>
      </c>
      <c r="E133">
        <v>4</v>
      </c>
      <c r="F133" s="8">
        <v>0</v>
      </c>
      <c r="G133" t="str">
        <f t="shared" si="2"/>
        <v/>
      </c>
      <c r="H133" s="8">
        <v>0</v>
      </c>
    </row>
    <row r="134" spans="1:8" x14ac:dyDescent="0.3">
      <c r="A134" t="s">
        <v>526</v>
      </c>
      <c r="B134" t="s">
        <v>157</v>
      </c>
      <c r="C134" t="s">
        <v>16</v>
      </c>
      <c r="D134" t="s">
        <v>88</v>
      </c>
      <c r="E134">
        <v>1</v>
      </c>
      <c r="F134" s="8">
        <v>0</v>
      </c>
      <c r="G134" t="str">
        <f t="shared" si="2"/>
        <v/>
      </c>
      <c r="H134" s="8">
        <v>0</v>
      </c>
    </row>
    <row r="135" spans="1:8" x14ac:dyDescent="0.3">
      <c r="A135" t="s">
        <v>344</v>
      </c>
      <c r="B135" t="s">
        <v>157</v>
      </c>
      <c r="C135" t="s">
        <v>16</v>
      </c>
      <c r="D135" t="s">
        <v>146</v>
      </c>
      <c r="E135">
        <v>6</v>
      </c>
      <c r="F135" s="8">
        <v>0</v>
      </c>
      <c r="G135" t="str">
        <f t="shared" si="2"/>
        <v/>
      </c>
      <c r="H135" s="8">
        <v>0</v>
      </c>
    </row>
    <row r="136" spans="1:8" x14ac:dyDescent="0.3">
      <c r="A136" t="s">
        <v>389</v>
      </c>
      <c r="B136" t="s">
        <v>157</v>
      </c>
      <c r="C136" t="s">
        <v>16</v>
      </c>
      <c r="D136" t="s">
        <v>88</v>
      </c>
      <c r="E136">
        <v>5</v>
      </c>
      <c r="F136" s="8">
        <v>0</v>
      </c>
      <c r="G136" t="str">
        <f t="shared" si="2"/>
        <v/>
      </c>
      <c r="H136" s="8">
        <v>0</v>
      </c>
    </row>
    <row r="137" spans="1:8" x14ac:dyDescent="0.3">
      <c r="A137" t="s">
        <v>431</v>
      </c>
      <c r="B137" t="s">
        <v>157</v>
      </c>
      <c r="C137" t="s">
        <v>16</v>
      </c>
      <c r="D137" t="s">
        <v>88</v>
      </c>
      <c r="E137">
        <v>4</v>
      </c>
      <c r="F137" s="8">
        <v>0</v>
      </c>
      <c r="G137" t="str">
        <f t="shared" si="2"/>
        <v/>
      </c>
      <c r="H137" s="8">
        <v>0</v>
      </c>
    </row>
    <row r="138" spans="1:8" x14ac:dyDescent="0.3">
      <c r="A138" t="s">
        <v>486</v>
      </c>
      <c r="B138" t="s">
        <v>157</v>
      </c>
      <c r="C138" t="s">
        <v>16</v>
      </c>
      <c r="D138" t="s">
        <v>188</v>
      </c>
      <c r="E138">
        <v>2</v>
      </c>
      <c r="F138" s="8">
        <v>0</v>
      </c>
      <c r="G138" t="str">
        <f t="shared" si="2"/>
        <v/>
      </c>
      <c r="H138" s="8">
        <v>0</v>
      </c>
    </row>
    <row r="139" spans="1:8" x14ac:dyDescent="0.3">
      <c r="A139" t="s">
        <v>317</v>
      </c>
      <c r="B139" t="s">
        <v>157</v>
      </c>
      <c r="C139" t="s">
        <v>16</v>
      </c>
      <c r="D139" t="s">
        <v>88</v>
      </c>
      <c r="E139">
        <v>7</v>
      </c>
      <c r="F139" s="8">
        <v>0</v>
      </c>
      <c r="G139" t="str">
        <f t="shared" si="2"/>
        <v/>
      </c>
      <c r="H139" s="8">
        <v>0</v>
      </c>
    </row>
    <row r="140" spans="1:8" x14ac:dyDescent="0.3">
      <c r="A140" t="s">
        <v>519</v>
      </c>
      <c r="B140" t="s">
        <v>157</v>
      </c>
      <c r="C140" t="s">
        <v>16</v>
      </c>
      <c r="D140" t="s">
        <v>88</v>
      </c>
      <c r="E140">
        <v>1</v>
      </c>
      <c r="F140" s="8">
        <v>0</v>
      </c>
      <c r="G140" t="str">
        <f t="shared" si="2"/>
        <v/>
      </c>
      <c r="H140" s="8">
        <v>0</v>
      </c>
    </row>
    <row r="141" spans="1:8" x14ac:dyDescent="0.3">
      <c r="A141" t="s">
        <v>355</v>
      </c>
      <c r="B141" t="s">
        <v>157</v>
      </c>
      <c r="C141" t="s">
        <v>16</v>
      </c>
      <c r="D141" t="s">
        <v>131</v>
      </c>
      <c r="E141">
        <v>6</v>
      </c>
      <c r="F141" s="8">
        <v>0</v>
      </c>
      <c r="G141" t="str">
        <f t="shared" si="2"/>
        <v/>
      </c>
      <c r="H141" s="8">
        <v>0</v>
      </c>
    </row>
    <row r="142" spans="1:8" x14ac:dyDescent="0.3">
      <c r="A142" t="s">
        <v>487</v>
      </c>
      <c r="B142" t="s">
        <v>157</v>
      </c>
      <c r="C142" t="s">
        <v>16</v>
      </c>
      <c r="D142" t="s">
        <v>131</v>
      </c>
      <c r="E142">
        <v>2</v>
      </c>
      <c r="F142" s="8">
        <v>0</v>
      </c>
      <c r="G142" t="str">
        <f t="shared" si="2"/>
        <v/>
      </c>
      <c r="H142" s="8">
        <v>0</v>
      </c>
    </row>
    <row r="143" spans="1:8" x14ac:dyDescent="0.3">
      <c r="A143" t="s">
        <v>363</v>
      </c>
      <c r="B143" t="s">
        <v>157</v>
      </c>
      <c r="C143" t="s">
        <v>16</v>
      </c>
      <c r="D143" t="s">
        <v>188</v>
      </c>
      <c r="E143">
        <v>6</v>
      </c>
      <c r="F143" s="8">
        <v>0</v>
      </c>
      <c r="G143" t="str">
        <f t="shared" si="2"/>
        <v/>
      </c>
      <c r="H143" s="8">
        <v>0</v>
      </c>
    </row>
    <row r="144" spans="1:8" x14ac:dyDescent="0.3">
      <c r="A144" t="s">
        <v>181</v>
      </c>
      <c r="B144" t="s">
        <v>157</v>
      </c>
      <c r="C144" t="s">
        <v>20</v>
      </c>
      <c r="D144" t="s">
        <v>27</v>
      </c>
      <c r="E144">
        <v>13</v>
      </c>
      <c r="F144" s="8">
        <v>0</v>
      </c>
      <c r="G144" t="str">
        <f t="shared" si="2"/>
        <v/>
      </c>
      <c r="H144" s="8">
        <v>0</v>
      </c>
    </row>
    <row r="145" spans="1:9" x14ac:dyDescent="0.3">
      <c r="A145" t="s">
        <v>325</v>
      </c>
      <c r="B145" t="s">
        <v>157</v>
      </c>
      <c r="C145" t="s">
        <v>20</v>
      </c>
      <c r="D145" t="s">
        <v>27</v>
      </c>
      <c r="E145">
        <v>6</v>
      </c>
      <c r="F145" s="8">
        <v>0</v>
      </c>
      <c r="G145" t="str">
        <f t="shared" si="2"/>
        <v/>
      </c>
      <c r="H145" s="8">
        <v>0</v>
      </c>
    </row>
    <row r="146" spans="1:9" x14ac:dyDescent="0.3">
      <c r="A146" t="s">
        <v>471</v>
      </c>
      <c r="B146" t="s">
        <v>157</v>
      </c>
      <c r="C146" t="s">
        <v>20</v>
      </c>
      <c r="D146" t="s">
        <v>27</v>
      </c>
      <c r="E146">
        <v>2</v>
      </c>
      <c r="F146" s="8">
        <v>0</v>
      </c>
      <c r="G146" t="str">
        <f t="shared" si="2"/>
        <v/>
      </c>
      <c r="H146" s="8">
        <v>0</v>
      </c>
    </row>
    <row r="147" spans="1:9" x14ac:dyDescent="0.3">
      <c r="A147" t="s">
        <v>380</v>
      </c>
      <c r="B147" t="s">
        <v>157</v>
      </c>
      <c r="C147" t="s">
        <v>20</v>
      </c>
      <c r="D147" t="s">
        <v>96</v>
      </c>
      <c r="E147">
        <v>5</v>
      </c>
      <c r="F147" s="8">
        <v>0</v>
      </c>
      <c r="G147" t="str">
        <f t="shared" si="2"/>
        <v/>
      </c>
      <c r="H147" s="8">
        <v>0</v>
      </c>
    </row>
    <row r="148" spans="1:9" x14ac:dyDescent="0.3">
      <c r="A148" t="s">
        <v>415</v>
      </c>
      <c r="B148" t="s">
        <v>157</v>
      </c>
      <c r="C148" t="s">
        <v>20</v>
      </c>
      <c r="D148" t="s">
        <v>23</v>
      </c>
      <c r="E148">
        <v>4</v>
      </c>
      <c r="F148" s="8">
        <v>0</v>
      </c>
      <c r="G148" t="str">
        <f t="shared" si="2"/>
        <v/>
      </c>
      <c r="H148" s="8">
        <v>0</v>
      </c>
    </row>
    <row r="149" spans="1:9" x14ac:dyDescent="0.3">
      <c r="A149" t="s">
        <v>288</v>
      </c>
      <c r="B149" t="s">
        <v>157</v>
      </c>
      <c r="C149" t="s">
        <v>20</v>
      </c>
      <c r="D149" t="s">
        <v>27</v>
      </c>
      <c r="E149">
        <v>7</v>
      </c>
      <c r="F149" s="8">
        <v>0</v>
      </c>
      <c r="G149" t="str">
        <f t="shared" si="2"/>
        <v/>
      </c>
      <c r="H149" s="8">
        <v>0</v>
      </c>
    </row>
    <row r="150" spans="1:9" x14ac:dyDescent="0.3">
      <c r="A150" t="s">
        <v>445</v>
      </c>
      <c r="B150" t="s">
        <v>157</v>
      </c>
      <c r="C150" t="s">
        <v>20</v>
      </c>
      <c r="D150" t="s">
        <v>23</v>
      </c>
      <c r="E150">
        <v>3</v>
      </c>
      <c r="F150" s="8">
        <v>0</v>
      </c>
      <c r="G150" t="str">
        <f t="shared" si="2"/>
        <v/>
      </c>
      <c r="H150" s="8">
        <v>0</v>
      </c>
    </row>
    <row r="151" spans="1:9" x14ac:dyDescent="0.3">
      <c r="A151" t="s">
        <v>480</v>
      </c>
      <c r="B151" t="s">
        <v>157</v>
      </c>
      <c r="C151" t="s">
        <v>20</v>
      </c>
      <c r="D151" t="s">
        <v>20</v>
      </c>
      <c r="E151">
        <v>2</v>
      </c>
      <c r="F151" s="8">
        <v>0</v>
      </c>
      <c r="G151" t="str">
        <f t="shared" si="2"/>
        <v/>
      </c>
      <c r="H151" s="8">
        <v>0</v>
      </c>
    </row>
    <row r="152" spans="1:9" x14ac:dyDescent="0.3">
      <c r="A152" t="s">
        <v>324</v>
      </c>
      <c r="B152" t="s">
        <v>157</v>
      </c>
      <c r="C152" t="s">
        <v>20</v>
      </c>
      <c r="D152" t="s">
        <v>20</v>
      </c>
      <c r="E152">
        <v>6</v>
      </c>
      <c r="F152" s="8">
        <v>0</v>
      </c>
      <c r="G152" t="str">
        <f t="shared" si="2"/>
        <v/>
      </c>
      <c r="H152" s="8">
        <v>0</v>
      </c>
    </row>
    <row r="153" spans="1:9" x14ac:dyDescent="0.3">
      <c r="A153" t="s">
        <v>475</v>
      </c>
      <c r="B153" t="s">
        <v>157</v>
      </c>
      <c r="C153" t="s">
        <v>20</v>
      </c>
      <c r="D153" t="s">
        <v>27</v>
      </c>
      <c r="E153">
        <v>2</v>
      </c>
      <c r="F153" s="8">
        <v>0</v>
      </c>
      <c r="G153" t="str">
        <f t="shared" si="2"/>
        <v/>
      </c>
      <c r="H153" s="8">
        <v>0</v>
      </c>
    </row>
    <row r="154" spans="1:9" x14ac:dyDescent="0.3">
      <c r="A154" t="s">
        <v>158</v>
      </c>
      <c r="B154" t="s">
        <v>157</v>
      </c>
      <c r="C154" t="s">
        <v>20</v>
      </c>
      <c r="D154" t="s">
        <v>83</v>
      </c>
      <c r="E154">
        <v>15</v>
      </c>
      <c r="F154" s="8">
        <v>0</v>
      </c>
      <c r="G154" t="str">
        <f t="shared" si="2"/>
        <v/>
      </c>
      <c r="H154" s="8">
        <v>0</v>
      </c>
    </row>
    <row r="155" spans="1:9" x14ac:dyDescent="0.3">
      <c r="A155" t="s">
        <v>298</v>
      </c>
      <c r="B155" t="s">
        <v>157</v>
      </c>
      <c r="C155" t="s">
        <v>20</v>
      </c>
      <c r="D155" t="s">
        <v>96</v>
      </c>
      <c r="E155">
        <v>7</v>
      </c>
      <c r="F155" s="8">
        <v>0</v>
      </c>
      <c r="G155" t="str">
        <f t="shared" si="2"/>
        <v/>
      </c>
      <c r="H155" s="8">
        <v>0</v>
      </c>
    </row>
    <row r="156" spans="1:9" x14ac:dyDescent="0.3">
      <c r="A156" t="s">
        <v>156</v>
      </c>
      <c r="B156" t="s">
        <v>157</v>
      </c>
      <c r="C156" t="s">
        <v>8</v>
      </c>
      <c r="D156" t="s">
        <v>34</v>
      </c>
      <c r="E156">
        <v>15</v>
      </c>
      <c r="F156" s="8">
        <v>0</v>
      </c>
      <c r="G156" t="str">
        <f t="shared" si="2"/>
        <v/>
      </c>
      <c r="H156" s="8">
        <v>0</v>
      </c>
    </row>
    <row r="157" spans="1:9" x14ac:dyDescent="0.3">
      <c r="A157" t="s">
        <v>261</v>
      </c>
      <c r="B157" t="s">
        <v>157</v>
      </c>
      <c r="C157" t="s">
        <v>8</v>
      </c>
      <c r="D157" t="s">
        <v>34</v>
      </c>
      <c r="E157">
        <v>8</v>
      </c>
      <c r="F157" s="8">
        <v>0</v>
      </c>
      <c r="G157" t="str">
        <f t="shared" si="2"/>
        <v/>
      </c>
      <c r="H157" s="8">
        <v>0</v>
      </c>
    </row>
    <row r="158" spans="1:9" x14ac:dyDescent="0.3">
      <c r="A158" t="s">
        <v>193</v>
      </c>
      <c r="B158" t="s">
        <v>157</v>
      </c>
      <c r="C158" t="s">
        <v>8</v>
      </c>
      <c r="D158" t="s">
        <v>9</v>
      </c>
      <c r="E158">
        <v>12</v>
      </c>
      <c r="F158" s="8">
        <v>0</v>
      </c>
      <c r="G158" t="str">
        <f t="shared" si="2"/>
        <v/>
      </c>
      <c r="H158" s="8">
        <v>0</v>
      </c>
    </row>
    <row r="159" spans="1:9" x14ac:dyDescent="0.3">
      <c r="A159" t="s">
        <v>259</v>
      </c>
      <c r="B159" t="s">
        <v>74</v>
      </c>
      <c r="C159" t="s">
        <v>71</v>
      </c>
      <c r="D159" t="s">
        <v>72</v>
      </c>
      <c r="E159">
        <v>9</v>
      </c>
      <c r="F159" s="8">
        <v>9</v>
      </c>
      <c r="G159">
        <f t="shared" si="2"/>
        <v>5.8</v>
      </c>
      <c r="H159" s="8">
        <v>0</v>
      </c>
      <c r="I159">
        <v>5.8</v>
      </c>
    </row>
    <row r="160" spans="1:9" x14ac:dyDescent="0.3">
      <c r="A160" t="s">
        <v>563</v>
      </c>
      <c r="B160" t="s">
        <v>74</v>
      </c>
      <c r="C160" t="s">
        <v>71</v>
      </c>
      <c r="D160" t="s">
        <v>72</v>
      </c>
      <c r="E160">
        <v>1</v>
      </c>
      <c r="F160" s="8">
        <v>0</v>
      </c>
      <c r="G160" t="str">
        <f t="shared" si="2"/>
        <v/>
      </c>
      <c r="H160" s="8">
        <v>0</v>
      </c>
    </row>
    <row r="161" spans="1:9" x14ac:dyDescent="0.3">
      <c r="A161" t="s">
        <v>548</v>
      </c>
      <c r="B161" t="s">
        <v>74</v>
      </c>
      <c r="C161" t="s">
        <v>71</v>
      </c>
      <c r="D161" t="s">
        <v>72</v>
      </c>
      <c r="E161">
        <v>1</v>
      </c>
      <c r="F161" s="8">
        <v>0</v>
      </c>
      <c r="G161" t="str">
        <f t="shared" si="2"/>
        <v/>
      </c>
      <c r="H161" s="8">
        <v>0</v>
      </c>
    </row>
    <row r="162" spans="1:9" x14ac:dyDescent="0.3">
      <c r="A162" t="s">
        <v>311</v>
      </c>
      <c r="B162" t="s">
        <v>74</v>
      </c>
      <c r="C162" t="s">
        <v>16</v>
      </c>
      <c r="D162" t="s">
        <v>88</v>
      </c>
      <c r="E162">
        <v>7</v>
      </c>
      <c r="F162" s="8">
        <v>0</v>
      </c>
      <c r="G162">
        <f t="shared" si="2"/>
        <v>6.1</v>
      </c>
      <c r="H162" s="8">
        <v>0</v>
      </c>
      <c r="I162">
        <v>6.1</v>
      </c>
    </row>
    <row r="163" spans="1:9" x14ac:dyDescent="0.3">
      <c r="A163" t="s">
        <v>282</v>
      </c>
      <c r="B163" t="s">
        <v>74</v>
      </c>
      <c r="C163" t="s">
        <v>16</v>
      </c>
      <c r="D163" t="s">
        <v>188</v>
      </c>
      <c r="E163">
        <v>8</v>
      </c>
      <c r="F163" s="8">
        <v>0</v>
      </c>
      <c r="G163" t="str">
        <f t="shared" si="2"/>
        <v/>
      </c>
      <c r="H163" s="8">
        <v>0</v>
      </c>
    </row>
    <row r="164" spans="1:9" x14ac:dyDescent="0.3">
      <c r="A164" t="s">
        <v>524</v>
      </c>
      <c r="B164" t="s">
        <v>74</v>
      </c>
      <c r="C164" t="s">
        <v>16</v>
      </c>
      <c r="D164" t="s">
        <v>146</v>
      </c>
      <c r="E164">
        <v>1</v>
      </c>
      <c r="F164" s="8">
        <v>0</v>
      </c>
      <c r="G164" t="str">
        <f t="shared" si="2"/>
        <v/>
      </c>
      <c r="H164" s="8">
        <v>0</v>
      </c>
    </row>
    <row r="165" spans="1:9" x14ac:dyDescent="0.3">
      <c r="A165" t="s">
        <v>387</v>
      </c>
      <c r="B165" t="s">
        <v>74</v>
      </c>
      <c r="C165" t="s">
        <v>16</v>
      </c>
      <c r="D165" t="s">
        <v>188</v>
      </c>
      <c r="E165">
        <v>5</v>
      </c>
      <c r="F165" s="8">
        <v>0</v>
      </c>
      <c r="G165" t="str">
        <f t="shared" si="2"/>
        <v/>
      </c>
      <c r="H165" s="8">
        <v>0</v>
      </c>
    </row>
    <row r="166" spans="1:9" x14ac:dyDescent="0.3">
      <c r="A166" t="s">
        <v>213</v>
      </c>
      <c r="B166" t="s">
        <v>74</v>
      </c>
      <c r="C166" t="s">
        <v>16</v>
      </c>
      <c r="D166" t="s">
        <v>131</v>
      </c>
      <c r="E166">
        <v>11</v>
      </c>
      <c r="F166" s="8">
        <v>0</v>
      </c>
      <c r="G166">
        <f t="shared" si="2"/>
        <v>6.2</v>
      </c>
      <c r="H166" s="8">
        <v>0</v>
      </c>
      <c r="I166">
        <v>6.2</v>
      </c>
    </row>
    <row r="167" spans="1:9" x14ac:dyDescent="0.3">
      <c r="A167" t="s">
        <v>129</v>
      </c>
      <c r="B167" t="s">
        <v>74</v>
      </c>
      <c r="C167" t="s">
        <v>16</v>
      </c>
      <c r="D167" t="s">
        <v>88</v>
      </c>
      <c r="E167">
        <v>20</v>
      </c>
      <c r="F167" s="8">
        <v>0</v>
      </c>
      <c r="G167">
        <f t="shared" si="2"/>
        <v>6.6</v>
      </c>
      <c r="H167" s="8">
        <v>0</v>
      </c>
      <c r="I167">
        <v>6.6</v>
      </c>
    </row>
    <row r="168" spans="1:9" x14ac:dyDescent="0.3">
      <c r="A168" t="s">
        <v>456</v>
      </c>
      <c r="B168" t="s">
        <v>74</v>
      </c>
      <c r="C168" t="s">
        <v>16</v>
      </c>
      <c r="D168" t="s">
        <v>88</v>
      </c>
      <c r="E168">
        <v>3</v>
      </c>
      <c r="F168" s="8">
        <v>0</v>
      </c>
      <c r="G168">
        <f t="shared" si="2"/>
        <v>6.1</v>
      </c>
      <c r="H168" s="8">
        <v>0</v>
      </c>
      <c r="I168">
        <v>6.1</v>
      </c>
    </row>
    <row r="169" spans="1:9" x14ac:dyDescent="0.3">
      <c r="A169" t="s">
        <v>423</v>
      </c>
      <c r="B169" t="s">
        <v>74</v>
      </c>
      <c r="C169" t="s">
        <v>16</v>
      </c>
      <c r="D169" t="s">
        <v>188</v>
      </c>
      <c r="E169">
        <v>4</v>
      </c>
      <c r="F169" s="8">
        <v>0</v>
      </c>
      <c r="G169" t="str">
        <f t="shared" si="2"/>
        <v/>
      </c>
      <c r="H169" s="8">
        <v>0</v>
      </c>
    </row>
    <row r="170" spans="1:9" x14ac:dyDescent="0.3">
      <c r="A170" t="s">
        <v>462</v>
      </c>
      <c r="B170" t="s">
        <v>74</v>
      </c>
      <c r="C170" t="s">
        <v>16</v>
      </c>
      <c r="D170" t="s">
        <v>174</v>
      </c>
      <c r="E170">
        <v>3</v>
      </c>
      <c r="F170" s="8">
        <v>0</v>
      </c>
      <c r="G170" t="str">
        <f t="shared" si="2"/>
        <v/>
      </c>
      <c r="H170" s="8">
        <v>0</v>
      </c>
    </row>
    <row r="171" spans="1:9" x14ac:dyDescent="0.3">
      <c r="A171" t="s">
        <v>145</v>
      </c>
      <c r="B171" t="s">
        <v>74</v>
      </c>
      <c r="C171" t="s">
        <v>16</v>
      </c>
      <c r="D171" t="s">
        <v>146</v>
      </c>
      <c r="E171">
        <v>17</v>
      </c>
      <c r="F171" s="8">
        <v>0</v>
      </c>
      <c r="G171">
        <f t="shared" si="2"/>
        <v>5.4</v>
      </c>
      <c r="H171" s="8">
        <v>0</v>
      </c>
      <c r="I171">
        <v>5.4</v>
      </c>
    </row>
    <row r="172" spans="1:9" x14ac:dyDescent="0.3">
      <c r="A172" t="s">
        <v>326</v>
      </c>
      <c r="B172" t="s">
        <v>74</v>
      </c>
      <c r="C172" t="s">
        <v>20</v>
      </c>
      <c r="D172" t="s">
        <v>27</v>
      </c>
      <c r="E172">
        <v>6</v>
      </c>
      <c r="F172" s="8">
        <v>0</v>
      </c>
      <c r="G172">
        <f t="shared" si="2"/>
        <v>6.4</v>
      </c>
      <c r="H172" s="8">
        <v>0</v>
      </c>
      <c r="I172">
        <v>6.4</v>
      </c>
    </row>
    <row r="173" spans="1:9" x14ac:dyDescent="0.3">
      <c r="A173" t="s">
        <v>159</v>
      </c>
      <c r="B173" t="s">
        <v>74</v>
      </c>
      <c r="C173" t="s">
        <v>20</v>
      </c>
      <c r="D173" t="s">
        <v>48</v>
      </c>
      <c r="E173">
        <v>15</v>
      </c>
      <c r="F173" s="8">
        <v>0</v>
      </c>
      <c r="G173">
        <f t="shared" si="2"/>
        <v>6.7</v>
      </c>
      <c r="H173" s="8">
        <v>0</v>
      </c>
      <c r="I173">
        <v>6.7</v>
      </c>
    </row>
    <row r="174" spans="1:9" x14ac:dyDescent="0.3">
      <c r="A174" t="s">
        <v>245</v>
      </c>
      <c r="B174" t="s">
        <v>74</v>
      </c>
      <c r="C174" t="s">
        <v>20</v>
      </c>
      <c r="D174" t="s">
        <v>135</v>
      </c>
      <c r="E174">
        <v>9</v>
      </c>
      <c r="F174" s="8">
        <v>0</v>
      </c>
      <c r="G174">
        <f t="shared" si="2"/>
        <v>6.2</v>
      </c>
      <c r="H174" s="8">
        <v>0</v>
      </c>
      <c r="I174">
        <v>6.2</v>
      </c>
    </row>
    <row r="175" spans="1:9" x14ac:dyDescent="0.3">
      <c r="A175" t="s">
        <v>225</v>
      </c>
      <c r="B175" t="s">
        <v>74</v>
      </c>
      <c r="C175" t="s">
        <v>20</v>
      </c>
      <c r="D175" t="s">
        <v>27</v>
      </c>
      <c r="E175">
        <v>10</v>
      </c>
      <c r="F175" s="8">
        <v>0</v>
      </c>
      <c r="G175">
        <f t="shared" si="2"/>
        <v>7.3</v>
      </c>
      <c r="H175" s="8">
        <v>0</v>
      </c>
      <c r="I175">
        <v>7.3</v>
      </c>
    </row>
    <row r="176" spans="1:9" x14ac:dyDescent="0.3">
      <c r="A176" t="s">
        <v>291</v>
      </c>
      <c r="B176" t="s">
        <v>74</v>
      </c>
      <c r="C176" t="s">
        <v>20</v>
      </c>
      <c r="D176" t="s">
        <v>83</v>
      </c>
      <c r="E176">
        <v>7</v>
      </c>
      <c r="F176" s="8">
        <v>0</v>
      </c>
      <c r="G176">
        <f t="shared" si="2"/>
        <v>6.2</v>
      </c>
      <c r="H176" s="8">
        <v>0</v>
      </c>
      <c r="I176">
        <v>6.2</v>
      </c>
    </row>
    <row r="177" spans="1:9" x14ac:dyDescent="0.3">
      <c r="A177" t="s">
        <v>419</v>
      </c>
      <c r="B177" t="s">
        <v>74</v>
      </c>
      <c r="C177" t="s">
        <v>20</v>
      </c>
      <c r="D177" t="s">
        <v>83</v>
      </c>
      <c r="E177">
        <v>4</v>
      </c>
      <c r="F177" s="8">
        <v>0</v>
      </c>
      <c r="G177">
        <f t="shared" si="2"/>
        <v>6.8</v>
      </c>
      <c r="H177" s="8">
        <v>0</v>
      </c>
      <c r="I177">
        <v>6.8</v>
      </c>
    </row>
    <row r="178" spans="1:9" x14ac:dyDescent="0.3">
      <c r="A178" t="s">
        <v>299</v>
      </c>
      <c r="B178" t="s">
        <v>74</v>
      </c>
      <c r="C178" t="s">
        <v>20</v>
      </c>
      <c r="D178" t="s">
        <v>27</v>
      </c>
      <c r="E178">
        <v>7</v>
      </c>
      <c r="F178" s="8">
        <v>0</v>
      </c>
      <c r="G178">
        <f t="shared" si="2"/>
        <v>6.5</v>
      </c>
      <c r="H178" s="8">
        <v>0</v>
      </c>
      <c r="I178">
        <v>6.5</v>
      </c>
    </row>
    <row r="179" spans="1:9" x14ac:dyDescent="0.3">
      <c r="A179" t="s">
        <v>339</v>
      </c>
      <c r="B179" t="s">
        <v>74</v>
      </c>
      <c r="C179" t="s">
        <v>20</v>
      </c>
      <c r="D179" t="s">
        <v>83</v>
      </c>
      <c r="E179">
        <v>6</v>
      </c>
      <c r="F179" s="8">
        <v>0</v>
      </c>
      <c r="G179" t="str">
        <f t="shared" si="2"/>
        <v/>
      </c>
      <c r="H179" s="8">
        <v>0</v>
      </c>
    </row>
    <row r="180" spans="1:9" x14ac:dyDescent="0.3">
      <c r="A180" t="s">
        <v>444</v>
      </c>
      <c r="B180" t="s">
        <v>74</v>
      </c>
      <c r="C180" t="s">
        <v>20</v>
      </c>
      <c r="D180" t="s">
        <v>96</v>
      </c>
      <c r="E180">
        <v>3</v>
      </c>
      <c r="F180" s="8">
        <v>0</v>
      </c>
      <c r="G180" t="str">
        <f t="shared" si="2"/>
        <v/>
      </c>
      <c r="H180" s="8">
        <v>0</v>
      </c>
    </row>
    <row r="181" spans="1:9" x14ac:dyDescent="0.3">
      <c r="A181" t="s">
        <v>73</v>
      </c>
      <c r="B181" t="s">
        <v>74</v>
      </c>
      <c r="C181" t="s">
        <v>8</v>
      </c>
      <c r="D181" t="s">
        <v>9</v>
      </c>
      <c r="E181">
        <v>32</v>
      </c>
      <c r="F181" s="8">
        <v>0</v>
      </c>
      <c r="G181">
        <f t="shared" si="2"/>
        <v>6</v>
      </c>
      <c r="H181" s="8">
        <v>0</v>
      </c>
      <c r="I181">
        <v>6</v>
      </c>
    </row>
    <row r="182" spans="1:9" x14ac:dyDescent="0.3">
      <c r="A182" t="s">
        <v>368</v>
      </c>
      <c r="B182" t="s">
        <v>74</v>
      </c>
      <c r="C182" t="s">
        <v>8</v>
      </c>
      <c r="D182" t="s">
        <v>9</v>
      </c>
      <c r="E182">
        <v>5</v>
      </c>
      <c r="F182" s="8">
        <v>0</v>
      </c>
      <c r="G182" t="str">
        <f t="shared" si="2"/>
        <v/>
      </c>
      <c r="H182" s="8">
        <v>0</v>
      </c>
    </row>
    <row r="183" spans="1:9" x14ac:dyDescent="0.3">
      <c r="A183" t="s">
        <v>219</v>
      </c>
      <c r="B183" t="s">
        <v>74</v>
      </c>
      <c r="C183" t="s">
        <v>8</v>
      </c>
      <c r="D183" t="s">
        <v>8</v>
      </c>
      <c r="E183">
        <v>10</v>
      </c>
      <c r="F183" s="8">
        <v>0</v>
      </c>
      <c r="G183">
        <f t="shared" si="2"/>
        <v>5.3</v>
      </c>
      <c r="H183" s="8">
        <v>0</v>
      </c>
      <c r="I183">
        <v>5.3</v>
      </c>
    </row>
    <row r="184" spans="1:9" x14ac:dyDescent="0.3">
      <c r="A184" t="s">
        <v>560</v>
      </c>
      <c r="B184" t="s">
        <v>7</v>
      </c>
      <c r="C184" t="s">
        <v>71</v>
      </c>
      <c r="D184" t="s">
        <v>72</v>
      </c>
      <c r="E184">
        <v>1</v>
      </c>
      <c r="F184" s="8">
        <v>0</v>
      </c>
      <c r="G184" t="str">
        <f t="shared" si="2"/>
        <v/>
      </c>
      <c r="H184" s="8">
        <v>0</v>
      </c>
    </row>
    <row r="185" spans="1:9" x14ac:dyDescent="0.3">
      <c r="A185" t="s">
        <v>76</v>
      </c>
      <c r="B185" t="s">
        <v>7</v>
      </c>
      <c r="C185" t="s">
        <v>71</v>
      </c>
      <c r="D185" t="s">
        <v>72</v>
      </c>
      <c r="E185">
        <v>32</v>
      </c>
      <c r="F185" s="8">
        <v>0</v>
      </c>
      <c r="G185">
        <f t="shared" si="2"/>
        <v>6.5</v>
      </c>
      <c r="H185" s="8">
        <v>0</v>
      </c>
      <c r="I185">
        <v>6.5</v>
      </c>
    </row>
    <row r="186" spans="1:9" x14ac:dyDescent="0.3">
      <c r="A186" t="s">
        <v>465</v>
      </c>
      <c r="B186" t="s">
        <v>7</v>
      </c>
      <c r="C186" t="s">
        <v>71</v>
      </c>
      <c r="D186" t="s">
        <v>72</v>
      </c>
      <c r="E186">
        <v>3</v>
      </c>
      <c r="F186" s="8">
        <v>0</v>
      </c>
      <c r="G186" t="str">
        <f t="shared" si="2"/>
        <v/>
      </c>
      <c r="H186" s="8">
        <v>0</v>
      </c>
    </row>
    <row r="187" spans="1:9" x14ac:dyDescent="0.3">
      <c r="A187" t="s">
        <v>87</v>
      </c>
      <c r="B187" t="s">
        <v>7</v>
      </c>
      <c r="C187" t="s">
        <v>16</v>
      </c>
      <c r="D187" t="s">
        <v>88</v>
      </c>
      <c r="E187">
        <v>28</v>
      </c>
      <c r="F187" s="8">
        <v>0</v>
      </c>
      <c r="G187">
        <f t="shared" si="2"/>
        <v>7.2</v>
      </c>
      <c r="H187" s="8">
        <v>0</v>
      </c>
      <c r="I187">
        <v>7.2</v>
      </c>
    </row>
    <row r="188" spans="1:9" x14ac:dyDescent="0.3">
      <c r="A188" t="s">
        <v>118</v>
      </c>
      <c r="B188" t="s">
        <v>7</v>
      </c>
      <c r="C188" t="s">
        <v>16</v>
      </c>
      <c r="D188" t="s">
        <v>88</v>
      </c>
      <c r="E188">
        <v>22</v>
      </c>
      <c r="F188" s="8">
        <v>0</v>
      </c>
      <c r="G188">
        <f t="shared" si="2"/>
        <v>6.4</v>
      </c>
      <c r="H188" s="8">
        <v>0</v>
      </c>
      <c r="I188">
        <v>6.4</v>
      </c>
    </row>
    <row r="189" spans="1:9" x14ac:dyDescent="0.3">
      <c r="A189" t="s">
        <v>144</v>
      </c>
      <c r="B189" t="s">
        <v>7</v>
      </c>
      <c r="C189" t="s">
        <v>16</v>
      </c>
      <c r="D189" t="s">
        <v>88</v>
      </c>
      <c r="E189">
        <v>17</v>
      </c>
      <c r="F189" s="8">
        <v>0</v>
      </c>
      <c r="G189">
        <f t="shared" si="2"/>
        <v>8</v>
      </c>
      <c r="H189" s="8">
        <v>0</v>
      </c>
      <c r="I189">
        <v>8</v>
      </c>
    </row>
    <row r="190" spans="1:9" x14ac:dyDescent="0.3">
      <c r="A190" t="s">
        <v>170</v>
      </c>
      <c r="B190" t="s">
        <v>7</v>
      </c>
      <c r="C190" t="s">
        <v>16</v>
      </c>
      <c r="D190" t="s">
        <v>171</v>
      </c>
      <c r="E190">
        <v>14</v>
      </c>
      <c r="F190" s="8">
        <v>0</v>
      </c>
      <c r="G190" t="str">
        <f t="shared" si="2"/>
        <v/>
      </c>
      <c r="H190" s="8">
        <v>0</v>
      </c>
    </row>
    <row r="191" spans="1:9" x14ac:dyDescent="0.3">
      <c r="A191" t="s">
        <v>15</v>
      </c>
      <c r="B191" t="s">
        <v>7</v>
      </c>
      <c r="C191" t="s">
        <v>16</v>
      </c>
      <c r="D191" t="s">
        <v>17</v>
      </c>
      <c r="E191">
        <v>133</v>
      </c>
      <c r="F191" s="8">
        <v>0</v>
      </c>
      <c r="G191">
        <f t="shared" si="2"/>
        <v>7.2</v>
      </c>
      <c r="H191" s="8">
        <v>0</v>
      </c>
      <c r="I191">
        <v>7.2</v>
      </c>
    </row>
    <row r="192" spans="1:9" x14ac:dyDescent="0.3">
      <c r="A192" t="s">
        <v>258</v>
      </c>
      <c r="B192" t="s">
        <v>7</v>
      </c>
      <c r="C192" t="s">
        <v>16</v>
      </c>
      <c r="D192" t="s">
        <v>111</v>
      </c>
      <c r="E192">
        <v>9</v>
      </c>
      <c r="F192" s="8">
        <v>0</v>
      </c>
      <c r="G192" t="str">
        <f t="shared" si="2"/>
        <v/>
      </c>
      <c r="H192" s="8">
        <v>0</v>
      </c>
    </row>
    <row r="193" spans="1:9" x14ac:dyDescent="0.3">
      <c r="A193" t="s">
        <v>125</v>
      </c>
      <c r="B193" t="s">
        <v>7</v>
      </c>
      <c r="C193" t="s">
        <v>16</v>
      </c>
      <c r="D193" t="s">
        <v>60</v>
      </c>
      <c r="E193">
        <v>21</v>
      </c>
      <c r="F193" s="8">
        <v>0</v>
      </c>
      <c r="G193" t="str">
        <f t="shared" si="2"/>
        <v/>
      </c>
      <c r="H193" s="8">
        <v>0</v>
      </c>
    </row>
    <row r="194" spans="1:9" x14ac:dyDescent="0.3">
      <c r="A194" t="s">
        <v>138</v>
      </c>
      <c r="B194" t="s">
        <v>7</v>
      </c>
      <c r="C194" t="s">
        <v>16</v>
      </c>
      <c r="D194" t="s">
        <v>88</v>
      </c>
      <c r="E194">
        <v>19</v>
      </c>
      <c r="F194" s="8">
        <v>0</v>
      </c>
      <c r="G194">
        <f t="shared" si="2"/>
        <v>6.3</v>
      </c>
      <c r="H194" s="8">
        <v>0</v>
      </c>
      <c r="I194">
        <v>6.3</v>
      </c>
    </row>
    <row r="195" spans="1:9" x14ac:dyDescent="0.3">
      <c r="A195" t="s">
        <v>66</v>
      </c>
      <c r="B195" t="s">
        <v>7</v>
      </c>
      <c r="C195" t="s">
        <v>20</v>
      </c>
      <c r="D195" t="s">
        <v>20</v>
      </c>
      <c r="E195">
        <v>40</v>
      </c>
      <c r="F195" s="8">
        <v>0</v>
      </c>
      <c r="G195">
        <f t="shared" si="2"/>
        <v>6.7</v>
      </c>
      <c r="H195" s="8">
        <v>0</v>
      </c>
      <c r="I195">
        <v>6.7</v>
      </c>
    </row>
    <row r="196" spans="1:9" x14ac:dyDescent="0.3">
      <c r="A196" t="s">
        <v>26</v>
      </c>
      <c r="B196" t="s">
        <v>7</v>
      </c>
      <c r="C196" t="s">
        <v>20</v>
      </c>
      <c r="D196" t="s">
        <v>27</v>
      </c>
      <c r="E196">
        <v>115</v>
      </c>
      <c r="F196" s="8">
        <v>0</v>
      </c>
      <c r="G196">
        <f t="shared" ref="G196:G259" si="3">IFERROR(AVERAGE(I196:AT196),"")</f>
        <v>7.7</v>
      </c>
      <c r="H196" s="8">
        <v>0</v>
      </c>
      <c r="I196">
        <v>7.7</v>
      </c>
    </row>
    <row r="197" spans="1:9" x14ac:dyDescent="0.3">
      <c r="A197" t="s">
        <v>134</v>
      </c>
      <c r="B197" t="s">
        <v>7</v>
      </c>
      <c r="C197" t="s">
        <v>20</v>
      </c>
      <c r="D197" t="s">
        <v>135</v>
      </c>
      <c r="E197">
        <v>19</v>
      </c>
      <c r="F197" s="8">
        <v>0</v>
      </c>
      <c r="G197">
        <f t="shared" si="3"/>
        <v>8.1</v>
      </c>
      <c r="H197" s="8">
        <v>0</v>
      </c>
      <c r="I197">
        <v>8.1</v>
      </c>
    </row>
    <row r="198" spans="1:9" x14ac:dyDescent="0.3">
      <c r="A198" t="s">
        <v>304</v>
      </c>
      <c r="B198" t="s">
        <v>7</v>
      </c>
      <c r="C198" t="s">
        <v>20</v>
      </c>
      <c r="D198" t="s">
        <v>17</v>
      </c>
      <c r="E198">
        <v>7</v>
      </c>
      <c r="F198" s="8">
        <v>0</v>
      </c>
      <c r="G198">
        <f t="shared" si="3"/>
        <v>6.6</v>
      </c>
      <c r="H198" s="8">
        <v>0</v>
      </c>
      <c r="I198">
        <v>6.6</v>
      </c>
    </row>
    <row r="199" spans="1:9" x14ac:dyDescent="0.3">
      <c r="A199" t="s">
        <v>229</v>
      </c>
      <c r="B199" t="s">
        <v>7</v>
      </c>
      <c r="C199" t="s">
        <v>20</v>
      </c>
      <c r="D199" t="s">
        <v>20</v>
      </c>
      <c r="E199">
        <v>10</v>
      </c>
      <c r="F199" s="8">
        <v>0</v>
      </c>
      <c r="G199" t="str">
        <f t="shared" si="3"/>
        <v/>
      </c>
      <c r="H199" s="8">
        <v>0</v>
      </c>
    </row>
    <row r="200" spans="1:9" x14ac:dyDescent="0.3">
      <c r="A200" t="s">
        <v>381</v>
      </c>
      <c r="B200" t="s">
        <v>7</v>
      </c>
      <c r="C200" t="s">
        <v>20</v>
      </c>
      <c r="D200" t="s">
        <v>27</v>
      </c>
      <c r="E200">
        <v>5</v>
      </c>
      <c r="F200" s="8">
        <v>0</v>
      </c>
      <c r="G200" t="str">
        <f t="shared" si="3"/>
        <v/>
      </c>
      <c r="H200" s="8">
        <v>0</v>
      </c>
      <c r="I200" s="1" t="s">
        <v>746</v>
      </c>
    </row>
    <row r="201" spans="1:9" x14ac:dyDescent="0.3">
      <c r="A201" t="s">
        <v>182</v>
      </c>
      <c r="B201" t="s">
        <v>7</v>
      </c>
      <c r="C201" t="s">
        <v>20</v>
      </c>
      <c r="D201" t="s">
        <v>20</v>
      </c>
      <c r="E201">
        <v>13</v>
      </c>
      <c r="F201" s="8">
        <v>0</v>
      </c>
      <c r="G201">
        <f t="shared" si="3"/>
        <v>7</v>
      </c>
      <c r="H201" s="8">
        <v>0</v>
      </c>
      <c r="I201">
        <v>7</v>
      </c>
    </row>
    <row r="202" spans="1:9" x14ac:dyDescent="0.3">
      <c r="A202" t="s">
        <v>124</v>
      </c>
      <c r="B202" t="s">
        <v>7</v>
      </c>
      <c r="C202" t="s">
        <v>20</v>
      </c>
      <c r="D202" t="s">
        <v>20</v>
      </c>
      <c r="E202">
        <v>21</v>
      </c>
      <c r="F202" s="8">
        <v>0</v>
      </c>
      <c r="G202">
        <f t="shared" si="3"/>
        <v>7</v>
      </c>
      <c r="H202" s="8">
        <v>0</v>
      </c>
      <c r="I202">
        <v>7</v>
      </c>
    </row>
    <row r="203" spans="1:9" x14ac:dyDescent="0.3">
      <c r="A203" t="s">
        <v>207</v>
      </c>
      <c r="B203" t="s">
        <v>7</v>
      </c>
      <c r="C203" t="s">
        <v>8</v>
      </c>
      <c r="D203" t="s">
        <v>9</v>
      </c>
      <c r="E203">
        <v>11</v>
      </c>
      <c r="F203" s="8">
        <v>0</v>
      </c>
      <c r="G203">
        <f t="shared" si="3"/>
        <v>6.9</v>
      </c>
      <c r="H203" s="8">
        <v>0</v>
      </c>
      <c r="I203" s="1">
        <v>6.9</v>
      </c>
    </row>
    <row r="204" spans="1:9" x14ac:dyDescent="0.3">
      <c r="A204" t="s">
        <v>53</v>
      </c>
      <c r="B204" t="s">
        <v>7</v>
      </c>
      <c r="C204" t="s">
        <v>8</v>
      </c>
      <c r="D204" t="s">
        <v>9</v>
      </c>
      <c r="E204">
        <v>47</v>
      </c>
      <c r="F204" s="8">
        <v>0</v>
      </c>
      <c r="G204">
        <f t="shared" si="3"/>
        <v>8.5</v>
      </c>
      <c r="H204" s="8">
        <v>0</v>
      </c>
      <c r="I204" s="1">
        <v>8.5</v>
      </c>
    </row>
    <row r="205" spans="1:9" x14ac:dyDescent="0.3">
      <c r="A205" t="s">
        <v>6</v>
      </c>
      <c r="B205" t="s">
        <v>7</v>
      </c>
      <c r="C205" t="s">
        <v>8</v>
      </c>
      <c r="D205" t="s">
        <v>9</v>
      </c>
      <c r="E205">
        <v>185</v>
      </c>
      <c r="F205" s="8">
        <v>0</v>
      </c>
      <c r="G205">
        <f t="shared" si="3"/>
        <v>6</v>
      </c>
      <c r="H205" s="8">
        <v>0</v>
      </c>
      <c r="I205" s="1">
        <v>6</v>
      </c>
    </row>
    <row r="206" spans="1:9" x14ac:dyDescent="0.3">
      <c r="A206" t="s">
        <v>12</v>
      </c>
      <c r="B206" t="s">
        <v>7</v>
      </c>
      <c r="C206" t="s">
        <v>8</v>
      </c>
      <c r="D206" t="s">
        <v>9</v>
      </c>
      <c r="E206">
        <v>140</v>
      </c>
      <c r="F206" s="8">
        <v>0</v>
      </c>
      <c r="G206" t="str">
        <f t="shared" si="3"/>
        <v/>
      </c>
      <c r="H206" s="8">
        <v>0</v>
      </c>
    </row>
    <row r="207" spans="1:9" x14ac:dyDescent="0.3">
      <c r="A207" t="s">
        <v>408</v>
      </c>
      <c r="B207" t="s">
        <v>29</v>
      </c>
      <c r="C207" t="s">
        <v>71</v>
      </c>
      <c r="D207" t="s">
        <v>72</v>
      </c>
      <c r="E207">
        <v>5</v>
      </c>
      <c r="F207" s="8">
        <v>0</v>
      </c>
      <c r="G207" t="str">
        <f t="shared" si="3"/>
        <v/>
      </c>
      <c r="H207" s="8">
        <v>0</v>
      </c>
    </row>
    <row r="208" spans="1:9" x14ac:dyDescent="0.3">
      <c r="A208" t="s">
        <v>466</v>
      </c>
      <c r="B208" t="s">
        <v>29</v>
      </c>
      <c r="C208" t="s">
        <v>71</v>
      </c>
      <c r="D208" t="s">
        <v>72</v>
      </c>
      <c r="E208">
        <v>3</v>
      </c>
      <c r="F208" s="8">
        <v>0</v>
      </c>
      <c r="G208" t="str">
        <f t="shared" si="3"/>
        <v/>
      </c>
      <c r="H208" s="8">
        <v>0</v>
      </c>
    </row>
    <row r="209" spans="1:8" x14ac:dyDescent="0.3">
      <c r="A209" t="s">
        <v>559</v>
      </c>
      <c r="B209" t="s">
        <v>29</v>
      </c>
      <c r="C209" t="s">
        <v>71</v>
      </c>
      <c r="D209" t="s">
        <v>72</v>
      </c>
      <c r="E209">
        <v>1</v>
      </c>
      <c r="F209" s="8">
        <v>0</v>
      </c>
      <c r="G209" t="str">
        <f t="shared" si="3"/>
        <v/>
      </c>
      <c r="H209" s="8">
        <v>0</v>
      </c>
    </row>
    <row r="210" spans="1:8" x14ac:dyDescent="0.3">
      <c r="A210" t="s">
        <v>90</v>
      </c>
      <c r="B210" t="s">
        <v>29</v>
      </c>
      <c r="C210" t="s">
        <v>71</v>
      </c>
      <c r="D210" t="s">
        <v>72</v>
      </c>
      <c r="E210">
        <v>28</v>
      </c>
      <c r="F210" s="8">
        <v>0</v>
      </c>
      <c r="G210" t="str">
        <f t="shared" si="3"/>
        <v/>
      </c>
      <c r="H210" s="8">
        <v>0</v>
      </c>
    </row>
    <row r="211" spans="1:8" x14ac:dyDescent="0.3">
      <c r="A211" t="s">
        <v>100</v>
      </c>
      <c r="B211" t="s">
        <v>29</v>
      </c>
      <c r="C211" t="s">
        <v>16</v>
      </c>
      <c r="D211" t="s">
        <v>88</v>
      </c>
      <c r="E211">
        <v>25</v>
      </c>
      <c r="F211" s="8">
        <v>0</v>
      </c>
      <c r="G211" t="str">
        <f t="shared" si="3"/>
        <v/>
      </c>
      <c r="H211" s="8">
        <v>0</v>
      </c>
    </row>
    <row r="212" spans="1:8" x14ac:dyDescent="0.3">
      <c r="A212" t="s">
        <v>495</v>
      </c>
      <c r="B212" t="s">
        <v>29</v>
      </c>
      <c r="C212" t="s">
        <v>16</v>
      </c>
      <c r="D212" t="s">
        <v>171</v>
      </c>
      <c r="E212">
        <v>2</v>
      </c>
      <c r="F212" s="8">
        <v>0</v>
      </c>
      <c r="G212" t="str">
        <f t="shared" si="3"/>
        <v/>
      </c>
      <c r="H212" s="8">
        <v>0</v>
      </c>
    </row>
    <row r="213" spans="1:8" x14ac:dyDescent="0.3">
      <c r="A213" t="s">
        <v>173</v>
      </c>
      <c r="B213" t="s">
        <v>29</v>
      </c>
      <c r="C213" t="s">
        <v>16</v>
      </c>
      <c r="D213" t="s">
        <v>174</v>
      </c>
      <c r="E213">
        <v>14</v>
      </c>
      <c r="F213" s="8">
        <v>0</v>
      </c>
      <c r="G213" t="str">
        <f t="shared" si="3"/>
        <v/>
      </c>
      <c r="H213" s="8">
        <v>0</v>
      </c>
    </row>
    <row r="214" spans="1:8" x14ac:dyDescent="0.3">
      <c r="A214" t="s">
        <v>318</v>
      </c>
      <c r="B214" t="s">
        <v>29</v>
      </c>
      <c r="C214" t="s">
        <v>16</v>
      </c>
      <c r="D214" t="s">
        <v>215</v>
      </c>
      <c r="E214">
        <v>7</v>
      </c>
      <c r="F214" s="8">
        <v>0</v>
      </c>
      <c r="G214" t="str">
        <f t="shared" si="3"/>
        <v/>
      </c>
      <c r="H214" s="8">
        <v>0</v>
      </c>
    </row>
    <row r="215" spans="1:8" x14ac:dyDescent="0.3">
      <c r="A215" t="s">
        <v>398</v>
      </c>
      <c r="B215" t="s">
        <v>29</v>
      </c>
      <c r="C215" t="s">
        <v>16</v>
      </c>
      <c r="D215" t="s">
        <v>88</v>
      </c>
      <c r="E215">
        <v>5</v>
      </c>
      <c r="F215" s="8">
        <v>0</v>
      </c>
      <c r="G215" t="str">
        <f t="shared" si="3"/>
        <v/>
      </c>
      <c r="H215" s="8">
        <v>0</v>
      </c>
    </row>
    <row r="216" spans="1:8" x14ac:dyDescent="0.3">
      <c r="A216" t="s">
        <v>110</v>
      </c>
      <c r="B216" t="s">
        <v>29</v>
      </c>
      <c r="C216" t="s">
        <v>16</v>
      </c>
      <c r="D216" t="s">
        <v>111</v>
      </c>
      <c r="E216">
        <v>23</v>
      </c>
      <c r="F216" s="8">
        <v>0</v>
      </c>
      <c r="G216" t="str">
        <f t="shared" si="3"/>
        <v/>
      </c>
      <c r="H216" s="8">
        <v>0</v>
      </c>
    </row>
    <row r="217" spans="1:8" x14ac:dyDescent="0.3">
      <c r="A217" t="s">
        <v>395</v>
      </c>
      <c r="B217" t="s">
        <v>29</v>
      </c>
      <c r="C217" t="s">
        <v>16</v>
      </c>
      <c r="D217" t="s">
        <v>146</v>
      </c>
      <c r="E217">
        <v>5</v>
      </c>
      <c r="F217" s="8">
        <v>0</v>
      </c>
      <c r="G217" t="str">
        <f t="shared" si="3"/>
        <v/>
      </c>
      <c r="H217" s="8">
        <v>0</v>
      </c>
    </row>
    <row r="218" spans="1:8" x14ac:dyDescent="0.3">
      <c r="A218" t="s">
        <v>255</v>
      </c>
      <c r="B218" t="s">
        <v>29</v>
      </c>
      <c r="C218" t="s">
        <v>16</v>
      </c>
      <c r="D218" t="s">
        <v>88</v>
      </c>
      <c r="E218">
        <v>9</v>
      </c>
      <c r="F218" s="8">
        <v>0</v>
      </c>
      <c r="G218" t="str">
        <f t="shared" si="3"/>
        <v/>
      </c>
      <c r="H218" s="8">
        <v>0</v>
      </c>
    </row>
    <row r="219" spans="1:8" x14ac:dyDescent="0.3">
      <c r="A219" t="s">
        <v>501</v>
      </c>
      <c r="B219" t="s">
        <v>29</v>
      </c>
      <c r="C219" t="s">
        <v>16</v>
      </c>
      <c r="D219" t="s">
        <v>88</v>
      </c>
      <c r="E219">
        <v>2</v>
      </c>
      <c r="F219" s="8">
        <v>0</v>
      </c>
      <c r="G219" t="str">
        <f t="shared" si="3"/>
        <v/>
      </c>
      <c r="H219" s="8">
        <v>0</v>
      </c>
    </row>
    <row r="220" spans="1:8" x14ac:dyDescent="0.3">
      <c r="A220" t="s">
        <v>85</v>
      </c>
      <c r="B220" t="s">
        <v>29</v>
      </c>
      <c r="C220" t="s">
        <v>20</v>
      </c>
      <c r="D220" t="s">
        <v>83</v>
      </c>
      <c r="E220">
        <v>28</v>
      </c>
      <c r="F220" s="8">
        <v>0</v>
      </c>
      <c r="G220" t="str">
        <f t="shared" si="3"/>
        <v/>
      </c>
      <c r="H220" s="8">
        <v>0</v>
      </c>
    </row>
    <row r="221" spans="1:8" x14ac:dyDescent="0.3">
      <c r="A221" t="s">
        <v>80</v>
      </c>
      <c r="B221" t="s">
        <v>29</v>
      </c>
      <c r="C221" t="s">
        <v>20</v>
      </c>
      <c r="D221" t="s">
        <v>34</v>
      </c>
      <c r="E221">
        <v>30</v>
      </c>
      <c r="F221" s="8">
        <v>0</v>
      </c>
      <c r="G221" t="str">
        <f t="shared" si="3"/>
        <v/>
      </c>
      <c r="H221" s="8">
        <v>0</v>
      </c>
    </row>
    <row r="222" spans="1:8" x14ac:dyDescent="0.3">
      <c r="A222" t="s">
        <v>336</v>
      </c>
      <c r="B222" t="s">
        <v>29</v>
      </c>
      <c r="C222" t="s">
        <v>20</v>
      </c>
      <c r="D222" t="s">
        <v>20</v>
      </c>
      <c r="E222">
        <v>6</v>
      </c>
      <c r="F222" s="8">
        <v>0</v>
      </c>
      <c r="G222" t="str">
        <f t="shared" si="3"/>
        <v/>
      </c>
      <c r="H222" s="8">
        <v>0</v>
      </c>
    </row>
    <row r="223" spans="1:8" x14ac:dyDescent="0.3">
      <c r="A223" t="s">
        <v>300</v>
      </c>
      <c r="B223" t="s">
        <v>29</v>
      </c>
      <c r="C223" t="s">
        <v>20</v>
      </c>
      <c r="D223" t="s">
        <v>23</v>
      </c>
      <c r="E223">
        <v>7</v>
      </c>
      <c r="F223" s="8">
        <v>0</v>
      </c>
      <c r="G223" t="str">
        <f t="shared" si="3"/>
        <v/>
      </c>
      <c r="H223" s="8">
        <v>0</v>
      </c>
    </row>
    <row r="224" spans="1:8" x14ac:dyDescent="0.3">
      <c r="A224" t="s">
        <v>153</v>
      </c>
      <c r="B224" t="s">
        <v>29</v>
      </c>
      <c r="C224" t="s">
        <v>20</v>
      </c>
      <c r="D224" t="s">
        <v>27</v>
      </c>
      <c r="E224">
        <v>16</v>
      </c>
      <c r="F224" s="8">
        <v>0</v>
      </c>
      <c r="G224" t="str">
        <f t="shared" si="3"/>
        <v/>
      </c>
      <c r="H224" s="8">
        <v>0</v>
      </c>
    </row>
    <row r="225" spans="1:8" x14ac:dyDescent="0.3">
      <c r="A225" t="s">
        <v>69</v>
      </c>
      <c r="B225" t="s">
        <v>29</v>
      </c>
      <c r="C225" t="s">
        <v>20</v>
      </c>
      <c r="D225" t="s">
        <v>20</v>
      </c>
      <c r="E225">
        <v>34</v>
      </c>
      <c r="F225" s="8">
        <v>0</v>
      </c>
      <c r="G225" t="str">
        <f t="shared" si="3"/>
        <v/>
      </c>
      <c r="H225" s="8">
        <v>0</v>
      </c>
    </row>
    <row r="226" spans="1:8" x14ac:dyDescent="0.3">
      <c r="A226" t="s">
        <v>334</v>
      </c>
      <c r="B226" t="s">
        <v>29</v>
      </c>
      <c r="C226" t="s">
        <v>20</v>
      </c>
      <c r="D226" t="s">
        <v>23</v>
      </c>
      <c r="E226">
        <v>6</v>
      </c>
      <c r="F226" s="8">
        <v>0</v>
      </c>
      <c r="G226" t="str">
        <f t="shared" si="3"/>
        <v/>
      </c>
      <c r="H226" s="8">
        <v>0</v>
      </c>
    </row>
    <row r="227" spans="1:8" x14ac:dyDescent="0.3">
      <c r="A227" t="s">
        <v>122</v>
      </c>
      <c r="B227" t="s">
        <v>29</v>
      </c>
      <c r="C227" t="s">
        <v>20</v>
      </c>
      <c r="D227" t="s">
        <v>20</v>
      </c>
      <c r="E227">
        <v>21</v>
      </c>
      <c r="F227" s="8">
        <v>0</v>
      </c>
      <c r="G227" t="str">
        <f t="shared" si="3"/>
        <v/>
      </c>
      <c r="H227" s="8">
        <v>0</v>
      </c>
    </row>
    <row r="228" spans="1:8" x14ac:dyDescent="0.3">
      <c r="A228" t="s">
        <v>247</v>
      </c>
      <c r="B228" t="s">
        <v>29</v>
      </c>
      <c r="C228" t="s">
        <v>20</v>
      </c>
      <c r="D228" t="s">
        <v>96</v>
      </c>
      <c r="E228">
        <v>9</v>
      </c>
      <c r="F228" s="8">
        <v>0</v>
      </c>
      <c r="G228" t="str">
        <f t="shared" si="3"/>
        <v/>
      </c>
      <c r="H228" s="8">
        <v>0</v>
      </c>
    </row>
    <row r="229" spans="1:8" x14ac:dyDescent="0.3">
      <c r="A229" t="s">
        <v>180</v>
      </c>
      <c r="B229" t="s">
        <v>29</v>
      </c>
      <c r="C229" t="s">
        <v>8</v>
      </c>
      <c r="D229" t="s">
        <v>34</v>
      </c>
      <c r="E229">
        <v>13</v>
      </c>
      <c r="F229" s="8">
        <v>0</v>
      </c>
      <c r="G229" t="str">
        <f t="shared" si="3"/>
        <v/>
      </c>
      <c r="H229" s="8">
        <v>0</v>
      </c>
    </row>
    <row r="230" spans="1:8" x14ac:dyDescent="0.3">
      <c r="A230" t="s">
        <v>127</v>
      </c>
      <c r="B230" t="s">
        <v>29</v>
      </c>
      <c r="C230" t="s">
        <v>8</v>
      </c>
      <c r="D230" t="s">
        <v>9</v>
      </c>
      <c r="E230">
        <v>20</v>
      </c>
      <c r="F230" s="8">
        <v>0</v>
      </c>
      <c r="G230" t="str">
        <f t="shared" si="3"/>
        <v/>
      </c>
      <c r="H230" s="8">
        <v>0</v>
      </c>
    </row>
    <row r="231" spans="1:8" x14ac:dyDescent="0.3">
      <c r="A231" t="s">
        <v>374</v>
      </c>
      <c r="B231" t="s">
        <v>29</v>
      </c>
      <c r="C231" t="s">
        <v>8</v>
      </c>
      <c r="D231" t="s">
        <v>8</v>
      </c>
      <c r="E231">
        <v>5</v>
      </c>
      <c r="F231" s="8">
        <v>0</v>
      </c>
      <c r="G231" t="str">
        <f t="shared" si="3"/>
        <v/>
      </c>
      <c r="H231" s="8">
        <v>0</v>
      </c>
    </row>
    <row r="232" spans="1:8" x14ac:dyDescent="0.3">
      <c r="A232" t="s">
        <v>28</v>
      </c>
      <c r="B232" t="s">
        <v>29</v>
      </c>
      <c r="C232" t="s">
        <v>8</v>
      </c>
      <c r="D232" t="s">
        <v>9</v>
      </c>
      <c r="E232">
        <v>113</v>
      </c>
      <c r="F232" s="8">
        <v>0</v>
      </c>
      <c r="G232" t="str">
        <f t="shared" si="3"/>
        <v/>
      </c>
      <c r="H232" s="8">
        <v>0</v>
      </c>
    </row>
    <row r="233" spans="1:8" x14ac:dyDescent="0.3">
      <c r="A233" t="s">
        <v>287</v>
      </c>
      <c r="B233" t="s">
        <v>29</v>
      </c>
      <c r="C233" t="s">
        <v>8</v>
      </c>
      <c r="D233" t="s">
        <v>9</v>
      </c>
      <c r="E233">
        <v>7</v>
      </c>
      <c r="F233" s="8">
        <v>0</v>
      </c>
      <c r="G233" t="str">
        <f t="shared" si="3"/>
        <v/>
      </c>
      <c r="H233" s="8">
        <v>0</v>
      </c>
    </row>
    <row r="234" spans="1:8" x14ac:dyDescent="0.3">
      <c r="A234" t="s">
        <v>35</v>
      </c>
      <c r="B234" t="s">
        <v>29</v>
      </c>
      <c r="C234" t="s">
        <v>8</v>
      </c>
      <c r="D234" t="s">
        <v>8</v>
      </c>
      <c r="E234">
        <v>96</v>
      </c>
      <c r="F234" s="8">
        <v>0</v>
      </c>
      <c r="G234" t="str">
        <f t="shared" si="3"/>
        <v/>
      </c>
      <c r="H234" s="8">
        <v>0</v>
      </c>
    </row>
    <row r="235" spans="1:8" x14ac:dyDescent="0.3">
      <c r="A235" t="s">
        <v>162</v>
      </c>
      <c r="B235" t="s">
        <v>55</v>
      </c>
      <c r="C235" t="s">
        <v>71</v>
      </c>
      <c r="D235" t="s">
        <v>72</v>
      </c>
      <c r="E235">
        <v>15</v>
      </c>
      <c r="F235" s="8">
        <v>0</v>
      </c>
      <c r="G235" t="str">
        <f t="shared" si="3"/>
        <v/>
      </c>
      <c r="H235" s="8">
        <v>0</v>
      </c>
    </row>
    <row r="236" spans="1:8" x14ac:dyDescent="0.3">
      <c r="A236" t="s">
        <v>539</v>
      </c>
      <c r="B236" t="s">
        <v>55</v>
      </c>
      <c r="C236" t="s">
        <v>71</v>
      </c>
      <c r="D236" t="s">
        <v>72</v>
      </c>
      <c r="E236">
        <v>1</v>
      </c>
      <c r="F236" s="8">
        <v>0</v>
      </c>
      <c r="G236" t="str">
        <f t="shared" si="3"/>
        <v/>
      </c>
      <c r="H236" s="8">
        <v>0</v>
      </c>
    </row>
    <row r="237" spans="1:8" x14ac:dyDescent="0.3">
      <c r="A237" t="s">
        <v>532</v>
      </c>
      <c r="B237" t="s">
        <v>55</v>
      </c>
      <c r="C237" t="s">
        <v>71</v>
      </c>
      <c r="D237" t="s">
        <v>72</v>
      </c>
      <c r="E237">
        <v>1</v>
      </c>
      <c r="F237" s="8">
        <v>0</v>
      </c>
      <c r="G237" t="str">
        <f t="shared" si="3"/>
        <v/>
      </c>
      <c r="H237" s="8">
        <v>0</v>
      </c>
    </row>
    <row r="238" spans="1:8" x14ac:dyDescent="0.3">
      <c r="A238" t="s">
        <v>216</v>
      </c>
      <c r="B238" t="s">
        <v>55</v>
      </c>
      <c r="C238" t="s">
        <v>16</v>
      </c>
      <c r="D238" t="s">
        <v>88</v>
      </c>
      <c r="E238">
        <v>11</v>
      </c>
      <c r="F238" s="8">
        <v>0</v>
      </c>
      <c r="G238" t="str">
        <f t="shared" si="3"/>
        <v/>
      </c>
      <c r="H238" s="8">
        <v>0</v>
      </c>
    </row>
    <row r="239" spans="1:8" x14ac:dyDescent="0.3">
      <c r="A239" t="s">
        <v>347</v>
      </c>
      <c r="B239" t="s">
        <v>55</v>
      </c>
      <c r="C239" t="s">
        <v>16</v>
      </c>
      <c r="D239" t="s">
        <v>131</v>
      </c>
      <c r="E239">
        <v>6</v>
      </c>
      <c r="F239" s="8">
        <v>0</v>
      </c>
      <c r="G239" t="str">
        <f t="shared" si="3"/>
        <v/>
      </c>
      <c r="H239" s="8">
        <v>0</v>
      </c>
    </row>
    <row r="240" spans="1:8" x14ac:dyDescent="0.3">
      <c r="A240" t="s">
        <v>435</v>
      </c>
      <c r="B240" t="s">
        <v>55</v>
      </c>
      <c r="C240" t="s">
        <v>16</v>
      </c>
      <c r="D240" t="s">
        <v>131</v>
      </c>
      <c r="E240">
        <v>4</v>
      </c>
      <c r="F240" s="8">
        <v>0</v>
      </c>
      <c r="G240" t="str">
        <f t="shared" si="3"/>
        <v/>
      </c>
      <c r="H240" s="8">
        <v>0</v>
      </c>
    </row>
    <row r="241" spans="1:8" x14ac:dyDescent="0.3">
      <c r="A241" t="s">
        <v>237</v>
      </c>
      <c r="B241" t="s">
        <v>55</v>
      </c>
      <c r="C241" t="s">
        <v>16</v>
      </c>
      <c r="D241" t="s">
        <v>174</v>
      </c>
      <c r="E241">
        <v>10</v>
      </c>
      <c r="F241" s="8">
        <v>0</v>
      </c>
      <c r="G241" t="str">
        <f t="shared" si="3"/>
        <v/>
      </c>
      <c r="H241" s="8">
        <v>0</v>
      </c>
    </row>
    <row r="242" spans="1:8" x14ac:dyDescent="0.3">
      <c r="A242" t="s">
        <v>500</v>
      </c>
      <c r="B242" t="s">
        <v>55</v>
      </c>
      <c r="C242" t="s">
        <v>16</v>
      </c>
      <c r="D242" t="s">
        <v>111</v>
      </c>
      <c r="E242">
        <v>2</v>
      </c>
      <c r="F242" s="8">
        <v>0</v>
      </c>
      <c r="G242" t="str">
        <f t="shared" si="3"/>
        <v/>
      </c>
      <c r="H242" s="8">
        <v>0</v>
      </c>
    </row>
    <row r="243" spans="1:8" x14ac:dyDescent="0.3">
      <c r="A243" t="s">
        <v>280</v>
      </c>
      <c r="B243" t="s">
        <v>55</v>
      </c>
      <c r="C243" t="s">
        <v>16</v>
      </c>
      <c r="D243" t="s">
        <v>188</v>
      </c>
      <c r="E243">
        <v>8</v>
      </c>
      <c r="F243" s="8">
        <v>0</v>
      </c>
      <c r="G243" t="str">
        <f t="shared" si="3"/>
        <v/>
      </c>
      <c r="H243" s="8">
        <v>0</v>
      </c>
    </row>
    <row r="244" spans="1:8" x14ac:dyDescent="0.3">
      <c r="A244" t="s">
        <v>461</v>
      </c>
      <c r="B244" t="s">
        <v>55</v>
      </c>
      <c r="C244" t="s">
        <v>16</v>
      </c>
      <c r="D244" t="s">
        <v>188</v>
      </c>
      <c r="E244">
        <v>3</v>
      </c>
      <c r="F244" s="8">
        <v>0</v>
      </c>
      <c r="G244" t="str">
        <f t="shared" si="3"/>
        <v/>
      </c>
      <c r="H244" s="8">
        <v>0</v>
      </c>
    </row>
    <row r="245" spans="1:8" x14ac:dyDescent="0.3">
      <c r="A245" t="s">
        <v>394</v>
      </c>
      <c r="B245" t="s">
        <v>55</v>
      </c>
      <c r="C245" t="s">
        <v>16</v>
      </c>
      <c r="D245" t="s">
        <v>88</v>
      </c>
      <c r="E245">
        <v>5</v>
      </c>
      <c r="F245" s="8">
        <v>0</v>
      </c>
      <c r="G245" t="str">
        <f t="shared" si="3"/>
        <v/>
      </c>
      <c r="H245" s="8">
        <v>0</v>
      </c>
    </row>
    <row r="246" spans="1:8" x14ac:dyDescent="0.3">
      <c r="A246" t="s">
        <v>205</v>
      </c>
      <c r="B246" t="s">
        <v>55</v>
      </c>
      <c r="C246" t="s">
        <v>16</v>
      </c>
      <c r="D246" t="s">
        <v>88</v>
      </c>
      <c r="E246">
        <v>12</v>
      </c>
      <c r="F246" s="8">
        <v>0</v>
      </c>
      <c r="G246" t="str">
        <f t="shared" si="3"/>
        <v/>
      </c>
      <c r="H246" s="8">
        <v>0</v>
      </c>
    </row>
    <row r="247" spans="1:8" x14ac:dyDescent="0.3">
      <c r="A247" t="s">
        <v>256</v>
      </c>
      <c r="B247" t="s">
        <v>55</v>
      </c>
      <c r="C247" t="s">
        <v>16</v>
      </c>
      <c r="D247" t="s">
        <v>188</v>
      </c>
      <c r="E247">
        <v>9</v>
      </c>
      <c r="F247" s="8">
        <v>0</v>
      </c>
      <c r="G247" t="str">
        <f t="shared" si="3"/>
        <v/>
      </c>
      <c r="H247" s="8">
        <v>0</v>
      </c>
    </row>
    <row r="248" spans="1:8" x14ac:dyDescent="0.3">
      <c r="A248" t="s">
        <v>448</v>
      </c>
      <c r="B248" t="s">
        <v>55</v>
      </c>
      <c r="C248" t="s">
        <v>20</v>
      </c>
      <c r="D248" t="s">
        <v>27</v>
      </c>
      <c r="E248">
        <v>3</v>
      </c>
      <c r="F248" s="8">
        <v>0</v>
      </c>
      <c r="G248" t="str">
        <f t="shared" si="3"/>
        <v/>
      </c>
      <c r="H248" s="8">
        <v>0</v>
      </c>
    </row>
    <row r="249" spans="1:8" x14ac:dyDescent="0.3">
      <c r="A249" t="s">
        <v>166</v>
      </c>
      <c r="B249" t="s">
        <v>55</v>
      </c>
      <c r="C249" t="s">
        <v>20</v>
      </c>
      <c r="D249" t="s">
        <v>34</v>
      </c>
      <c r="E249">
        <v>14</v>
      </c>
      <c r="F249" s="8">
        <v>0</v>
      </c>
      <c r="G249" t="str">
        <f t="shared" si="3"/>
        <v/>
      </c>
      <c r="H249" s="8">
        <v>0</v>
      </c>
    </row>
    <row r="250" spans="1:8" x14ac:dyDescent="0.3">
      <c r="A250" t="s">
        <v>340</v>
      </c>
      <c r="B250" t="s">
        <v>55</v>
      </c>
      <c r="C250" t="s">
        <v>20</v>
      </c>
      <c r="D250" t="s">
        <v>27</v>
      </c>
      <c r="E250">
        <v>6</v>
      </c>
      <c r="F250" s="8">
        <v>0</v>
      </c>
      <c r="G250" t="str">
        <f t="shared" si="3"/>
        <v/>
      </c>
      <c r="H250" s="8">
        <v>0</v>
      </c>
    </row>
    <row r="251" spans="1:8" x14ac:dyDescent="0.3">
      <c r="A251" t="s">
        <v>295</v>
      </c>
      <c r="B251" t="s">
        <v>55</v>
      </c>
      <c r="C251" t="s">
        <v>20</v>
      </c>
      <c r="D251" t="s">
        <v>23</v>
      </c>
      <c r="E251">
        <v>7</v>
      </c>
      <c r="F251" s="8">
        <v>0</v>
      </c>
      <c r="G251" t="str">
        <f t="shared" si="3"/>
        <v/>
      </c>
      <c r="H251" s="8">
        <v>0</v>
      </c>
    </row>
    <row r="252" spans="1:8" x14ac:dyDescent="0.3">
      <c r="A252" t="s">
        <v>86</v>
      </c>
      <c r="B252" t="s">
        <v>55</v>
      </c>
      <c r="C252" t="s">
        <v>20</v>
      </c>
      <c r="D252" t="s">
        <v>23</v>
      </c>
      <c r="E252">
        <v>28</v>
      </c>
      <c r="F252" s="8">
        <v>0</v>
      </c>
      <c r="G252" t="str">
        <f t="shared" si="3"/>
        <v/>
      </c>
      <c r="H252" s="8">
        <v>0</v>
      </c>
    </row>
    <row r="253" spans="1:8" x14ac:dyDescent="0.3">
      <c r="A253" t="s">
        <v>183</v>
      </c>
      <c r="B253" t="s">
        <v>55</v>
      </c>
      <c r="C253" t="s">
        <v>20</v>
      </c>
      <c r="D253" t="s">
        <v>34</v>
      </c>
      <c r="E253">
        <v>13</v>
      </c>
      <c r="F253" s="8">
        <v>0</v>
      </c>
      <c r="G253" t="str">
        <f t="shared" si="3"/>
        <v/>
      </c>
      <c r="H253" s="8">
        <v>0</v>
      </c>
    </row>
    <row r="254" spans="1:8" x14ac:dyDescent="0.3">
      <c r="A254" t="s">
        <v>441</v>
      </c>
      <c r="B254" t="s">
        <v>55</v>
      </c>
      <c r="C254" t="s">
        <v>20</v>
      </c>
      <c r="D254" t="s">
        <v>83</v>
      </c>
      <c r="E254">
        <v>3</v>
      </c>
      <c r="F254" s="8">
        <v>0</v>
      </c>
      <c r="G254" t="str">
        <f t="shared" si="3"/>
        <v/>
      </c>
      <c r="H254" s="8">
        <v>0</v>
      </c>
    </row>
    <row r="255" spans="1:8" x14ac:dyDescent="0.3">
      <c r="A255" t="s">
        <v>270</v>
      </c>
      <c r="B255" t="s">
        <v>55</v>
      </c>
      <c r="C255" t="s">
        <v>20</v>
      </c>
      <c r="D255" t="s">
        <v>27</v>
      </c>
      <c r="E255">
        <v>8</v>
      </c>
      <c r="F255" s="8">
        <v>0</v>
      </c>
      <c r="G255" t="str">
        <f t="shared" si="3"/>
        <v/>
      </c>
      <c r="H255" s="8">
        <v>0</v>
      </c>
    </row>
    <row r="256" spans="1:8" x14ac:dyDescent="0.3">
      <c r="A256" t="s">
        <v>75</v>
      </c>
      <c r="B256" t="s">
        <v>55</v>
      </c>
      <c r="C256" t="s">
        <v>20</v>
      </c>
      <c r="D256" t="s">
        <v>23</v>
      </c>
      <c r="E256">
        <v>32</v>
      </c>
      <c r="F256" s="8">
        <v>0</v>
      </c>
      <c r="G256" t="str">
        <f t="shared" si="3"/>
        <v/>
      </c>
      <c r="H256" s="8">
        <v>0</v>
      </c>
    </row>
    <row r="257" spans="1:8" x14ac:dyDescent="0.3">
      <c r="A257" t="s">
        <v>54</v>
      </c>
      <c r="B257" t="s">
        <v>55</v>
      </c>
      <c r="C257" t="s">
        <v>20</v>
      </c>
      <c r="D257" t="s">
        <v>34</v>
      </c>
      <c r="E257">
        <v>46</v>
      </c>
      <c r="F257" s="8">
        <v>0</v>
      </c>
      <c r="G257" t="str">
        <f t="shared" si="3"/>
        <v/>
      </c>
      <c r="H257" s="8">
        <v>0</v>
      </c>
    </row>
    <row r="258" spans="1:8" x14ac:dyDescent="0.3">
      <c r="A258" t="s">
        <v>149</v>
      </c>
      <c r="B258" t="s">
        <v>55</v>
      </c>
      <c r="C258" t="s">
        <v>8</v>
      </c>
      <c r="D258" t="s">
        <v>8</v>
      </c>
      <c r="E258">
        <v>16</v>
      </c>
      <c r="F258" s="8">
        <v>0</v>
      </c>
      <c r="G258" t="str">
        <f t="shared" si="3"/>
        <v/>
      </c>
      <c r="H258" s="8">
        <v>0</v>
      </c>
    </row>
    <row r="259" spans="1:8" x14ac:dyDescent="0.3">
      <c r="A259" t="s">
        <v>239</v>
      </c>
      <c r="B259" t="s">
        <v>55</v>
      </c>
      <c r="C259" t="s">
        <v>8</v>
      </c>
      <c r="D259" t="s">
        <v>8</v>
      </c>
      <c r="E259">
        <v>9</v>
      </c>
      <c r="F259" s="8">
        <v>0</v>
      </c>
      <c r="G259" t="str">
        <f t="shared" si="3"/>
        <v/>
      </c>
      <c r="H259" s="8">
        <v>0</v>
      </c>
    </row>
    <row r="260" spans="1:8" x14ac:dyDescent="0.3">
      <c r="A260" t="s">
        <v>147</v>
      </c>
      <c r="B260" t="s">
        <v>55</v>
      </c>
      <c r="C260" t="s">
        <v>8</v>
      </c>
      <c r="D260" t="s">
        <v>9</v>
      </c>
      <c r="E260">
        <v>16</v>
      </c>
      <c r="F260" s="8">
        <v>0</v>
      </c>
      <c r="G260" t="str">
        <f t="shared" ref="G260:G323" si="4">IFERROR(AVERAGE(I260:AT260),"")</f>
        <v/>
      </c>
      <c r="H260" s="8">
        <v>0</v>
      </c>
    </row>
    <row r="261" spans="1:8" x14ac:dyDescent="0.3">
      <c r="A261" t="s">
        <v>554</v>
      </c>
      <c r="B261" t="s">
        <v>178</v>
      </c>
      <c r="C261" t="s">
        <v>71</v>
      </c>
      <c r="D261" t="s">
        <v>72</v>
      </c>
      <c r="E261">
        <v>1</v>
      </c>
      <c r="F261" s="8">
        <v>9</v>
      </c>
      <c r="G261" t="str">
        <f t="shared" si="4"/>
        <v/>
      </c>
      <c r="H261" s="8">
        <v>0</v>
      </c>
    </row>
    <row r="262" spans="1:8" x14ac:dyDescent="0.3">
      <c r="A262" t="s">
        <v>192</v>
      </c>
      <c r="B262" t="s">
        <v>178</v>
      </c>
      <c r="C262" t="s">
        <v>71</v>
      </c>
      <c r="D262" t="s">
        <v>72</v>
      </c>
      <c r="E262">
        <v>13</v>
      </c>
      <c r="F262" s="8">
        <v>0</v>
      </c>
      <c r="G262" t="str">
        <f t="shared" si="4"/>
        <v/>
      </c>
      <c r="H262" s="8">
        <v>0</v>
      </c>
    </row>
    <row r="263" spans="1:8" x14ac:dyDescent="0.3">
      <c r="A263" t="s">
        <v>530</v>
      </c>
      <c r="B263" t="s">
        <v>178</v>
      </c>
      <c r="C263" t="s">
        <v>71</v>
      </c>
      <c r="D263" t="s">
        <v>72</v>
      </c>
      <c r="E263">
        <v>1</v>
      </c>
      <c r="F263" s="8">
        <v>0</v>
      </c>
      <c r="G263" t="str">
        <f t="shared" si="4"/>
        <v/>
      </c>
      <c r="H263" s="8">
        <v>0</v>
      </c>
    </row>
    <row r="264" spans="1:8" x14ac:dyDescent="0.3">
      <c r="A264" t="s">
        <v>319</v>
      </c>
      <c r="B264" t="s">
        <v>178</v>
      </c>
      <c r="C264" t="s">
        <v>16</v>
      </c>
      <c r="D264" t="s">
        <v>188</v>
      </c>
      <c r="E264">
        <v>7</v>
      </c>
      <c r="F264" s="8">
        <v>0</v>
      </c>
      <c r="G264" t="str">
        <f t="shared" si="4"/>
        <v/>
      </c>
      <c r="H264" s="8">
        <v>0</v>
      </c>
    </row>
    <row r="265" spans="1:8" x14ac:dyDescent="0.3">
      <c r="A265" t="s">
        <v>353</v>
      </c>
      <c r="B265" t="s">
        <v>178</v>
      </c>
      <c r="C265" t="s">
        <v>16</v>
      </c>
      <c r="D265" t="s">
        <v>88</v>
      </c>
      <c r="E265">
        <v>6</v>
      </c>
      <c r="F265" s="8">
        <v>0</v>
      </c>
      <c r="G265" t="str">
        <f t="shared" si="4"/>
        <v/>
      </c>
      <c r="H265" s="8">
        <v>0</v>
      </c>
    </row>
    <row r="266" spans="1:8" x14ac:dyDescent="0.3">
      <c r="A266" t="s">
        <v>491</v>
      </c>
      <c r="B266" t="s">
        <v>178</v>
      </c>
      <c r="C266" t="s">
        <v>16</v>
      </c>
      <c r="D266" t="s">
        <v>88</v>
      </c>
      <c r="E266">
        <v>2</v>
      </c>
      <c r="F266" s="8">
        <v>0</v>
      </c>
      <c r="G266" t="str">
        <f t="shared" si="4"/>
        <v/>
      </c>
      <c r="H266" s="8">
        <v>0</v>
      </c>
    </row>
    <row r="267" spans="1:8" x14ac:dyDescent="0.3">
      <c r="A267" t="s">
        <v>490</v>
      </c>
      <c r="B267" t="s">
        <v>178</v>
      </c>
      <c r="C267" t="s">
        <v>16</v>
      </c>
      <c r="D267" t="s">
        <v>188</v>
      </c>
      <c r="E267">
        <v>2</v>
      </c>
      <c r="F267" s="8">
        <v>0</v>
      </c>
      <c r="G267" t="str">
        <f t="shared" si="4"/>
        <v/>
      </c>
      <c r="H267" s="8">
        <v>0</v>
      </c>
    </row>
    <row r="268" spans="1:8" x14ac:dyDescent="0.3">
      <c r="A268" t="s">
        <v>346</v>
      </c>
      <c r="B268" t="s">
        <v>178</v>
      </c>
      <c r="C268" t="s">
        <v>16</v>
      </c>
      <c r="D268" t="s">
        <v>88</v>
      </c>
      <c r="E268">
        <v>6</v>
      </c>
      <c r="F268" s="8">
        <v>0</v>
      </c>
      <c r="G268" t="str">
        <f t="shared" si="4"/>
        <v/>
      </c>
      <c r="H268" s="8">
        <v>0</v>
      </c>
    </row>
    <row r="269" spans="1:8" x14ac:dyDescent="0.3">
      <c r="A269" t="s">
        <v>251</v>
      </c>
      <c r="B269" t="s">
        <v>178</v>
      </c>
      <c r="C269" t="s">
        <v>16</v>
      </c>
      <c r="D269" t="s">
        <v>88</v>
      </c>
      <c r="E269">
        <v>9</v>
      </c>
      <c r="F269" s="8">
        <v>0</v>
      </c>
      <c r="G269" t="str">
        <f t="shared" si="4"/>
        <v/>
      </c>
      <c r="H269" s="8">
        <v>0</v>
      </c>
    </row>
    <row r="270" spans="1:8" x14ac:dyDescent="0.3">
      <c r="A270" t="s">
        <v>349</v>
      </c>
      <c r="B270" t="s">
        <v>178</v>
      </c>
      <c r="C270" t="s">
        <v>16</v>
      </c>
      <c r="D270" t="s">
        <v>131</v>
      </c>
      <c r="E270">
        <v>6</v>
      </c>
      <c r="F270" s="8">
        <v>0</v>
      </c>
      <c r="G270" t="str">
        <f t="shared" si="4"/>
        <v/>
      </c>
      <c r="H270" s="8">
        <v>0</v>
      </c>
    </row>
    <row r="271" spans="1:8" x14ac:dyDescent="0.3">
      <c r="A271" t="s">
        <v>269</v>
      </c>
      <c r="B271" t="s">
        <v>178</v>
      </c>
      <c r="C271" t="s">
        <v>20</v>
      </c>
      <c r="D271" t="s">
        <v>23</v>
      </c>
      <c r="E271">
        <v>8</v>
      </c>
      <c r="F271" s="8">
        <v>0</v>
      </c>
      <c r="G271" t="str">
        <f t="shared" si="4"/>
        <v/>
      </c>
      <c r="H271" s="8">
        <v>0</v>
      </c>
    </row>
    <row r="272" spans="1:8" x14ac:dyDescent="0.3">
      <c r="A272" t="s">
        <v>302</v>
      </c>
      <c r="B272" t="s">
        <v>178</v>
      </c>
      <c r="C272" t="s">
        <v>20</v>
      </c>
      <c r="D272" t="s">
        <v>27</v>
      </c>
      <c r="E272">
        <v>7</v>
      </c>
      <c r="F272" s="8">
        <v>0</v>
      </c>
      <c r="G272" t="str">
        <f t="shared" si="4"/>
        <v/>
      </c>
      <c r="H272" s="8">
        <v>0</v>
      </c>
    </row>
    <row r="273" spans="1:8" x14ac:dyDescent="0.3">
      <c r="A273" t="s">
        <v>514</v>
      </c>
      <c r="B273" t="s">
        <v>178</v>
      </c>
      <c r="C273" t="s">
        <v>20</v>
      </c>
      <c r="D273" t="s">
        <v>27</v>
      </c>
      <c r="E273">
        <v>1</v>
      </c>
      <c r="F273" s="8">
        <v>0</v>
      </c>
      <c r="G273" t="str">
        <f t="shared" si="4"/>
        <v/>
      </c>
      <c r="H273" s="8">
        <v>0</v>
      </c>
    </row>
    <row r="274" spans="1:8" x14ac:dyDescent="0.3">
      <c r="A274" t="s">
        <v>292</v>
      </c>
      <c r="B274" t="s">
        <v>178</v>
      </c>
      <c r="C274" t="s">
        <v>20</v>
      </c>
      <c r="D274" t="s">
        <v>23</v>
      </c>
      <c r="E274">
        <v>7</v>
      </c>
      <c r="F274" s="8">
        <v>0</v>
      </c>
      <c r="G274" t="str">
        <f t="shared" si="4"/>
        <v/>
      </c>
      <c r="H274" s="8">
        <v>0</v>
      </c>
    </row>
    <row r="275" spans="1:8" x14ac:dyDescent="0.3">
      <c r="A275" t="s">
        <v>474</v>
      </c>
      <c r="B275" t="s">
        <v>178</v>
      </c>
      <c r="C275" t="s">
        <v>20</v>
      </c>
      <c r="D275" t="s">
        <v>27</v>
      </c>
      <c r="E275">
        <v>2</v>
      </c>
      <c r="F275" s="8">
        <v>0</v>
      </c>
      <c r="G275" t="str">
        <f t="shared" si="4"/>
        <v/>
      </c>
      <c r="H275" s="8">
        <v>0</v>
      </c>
    </row>
    <row r="276" spans="1:8" x14ac:dyDescent="0.3">
      <c r="A276" t="s">
        <v>518</v>
      </c>
      <c r="B276" t="s">
        <v>178</v>
      </c>
      <c r="C276" t="s">
        <v>20</v>
      </c>
      <c r="D276" t="s">
        <v>27</v>
      </c>
      <c r="E276">
        <v>1</v>
      </c>
      <c r="F276" s="8">
        <v>0</v>
      </c>
      <c r="G276" t="str">
        <f t="shared" si="4"/>
        <v/>
      </c>
      <c r="H276" s="8">
        <v>0</v>
      </c>
    </row>
    <row r="277" spans="1:8" x14ac:dyDescent="0.3">
      <c r="A277" t="s">
        <v>511</v>
      </c>
      <c r="B277" t="s">
        <v>178</v>
      </c>
      <c r="C277" t="s">
        <v>20</v>
      </c>
      <c r="D277" t="s">
        <v>34</v>
      </c>
      <c r="E277">
        <v>1</v>
      </c>
      <c r="F277" s="8">
        <v>0</v>
      </c>
      <c r="G277" t="str">
        <f t="shared" si="4"/>
        <v/>
      </c>
      <c r="H277" s="8">
        <v>0</v>
      </c>
    </row>
    <row r="278" spans="1:8" x14ac:dyDescent="0.3">
      <c r="A278" t="s">
        <v>450</v>
      </c>
      <c r="B278" t="s">
        <v>178</v>
      </c>
      <c r="C278" t="s">
        <v>20</v>
      </c>
      <c r="D278" t="s">
        <v>27</v>
      </c>
      <c r="E278">
        <v>3</v>
      </c>
      <c r="F278" s="8">
        <v>0</v>
      </c>
      <c r="G278" t="str">
        <f t="shared" si="4"/>
        <v/>
      </c>
      <c r="H278" s="8">
        <v>0</v>
      </c>
    </row>
    <row r="279" spans="1:8" x14ac:dyDescent="0.3">
      <c r="A279" t="s">
        <v>327</v>
      </c>
      <c r="B279" t="s">
        <v>178</v>
      </c>
      <c r="C279" t="s">
        <v>20</v>
      </c>
      <c r="D279" t="s">
        <v>27</v>
      </c>
      <c r="E279">
        <v>6</v>
      </c>
      <c r="F279" s="8">
        <v>0</v>
      </c>
      <c r="G279" t="str">
        <f t="shared" si="4"/>
        <v/>
      </c>
      <c r="H279" s="8">
        <v>0</v>
      </c>
    </row>
    <row r="280" spans="1:8" x14ac:dyDescent="0.3">
      <c r="A280" t="s">
        <v>223</v>
      </c>
      <c r="B280" t="s">
        <v>178</v>
      </c>
      <c r="C280" t="s">
        <v>20</v>
      </c>
      <c r="D280" t="s">
        <v>96</v>
      </c>
      <c r="E280">
        <v>10</v>
      </c>
      <c r="F280" s="8">
        <v>0</v>
      </c>
      <c r="G280" t="str">
        <f t="shared" si="4"/>
        <v/>
      </c>
      <c r="H280" s="8">
        <v>0</v>
      </c>
    </row>
    <row r="281" spans="1:8" x14ac:dyDescent="0.3">
      <c r="A281" t="s">
        <v>177</v>
      </c>
      <c r="B281" t="s">
        <v>178</v>
      </c>
      <c r="C281" t="s">
        <v>8</v>
      </c>
      <c r="D281" t="s">
        <v>9</v>
      </c>
      <c r="E281">
        <v>13</v>
      </c>
      <c r="F281" s="8">
        <v>0</v>
      </c>
      <c r="G281" t="str">
        <f t="shared" si="4"/>
        <v/>
      </c>
      <c r="H281" s="8">
        <v>0</v>
      </c>
    </row>
    <row r="282" spans="1:8" x14ac:dyDescent="0.3">
      <c r="A282" t="s">
        <v>373</v>
      </c>
      <c r="B282" t="s">
        <v>178</v>
      </c>
      <c r="C282" t="s">
        <v>8</v>
      </c>
      <c r="D282" t="s">
        <v>34</v>
      </c>
      <c r="E282">
        <v>5</v>
      </c>
      <c r="F282" s="8">
        <v>0</v>
      </c>
      <c r="G282" t="str">
        <f t="shared" si="4"/>
        <v/>
      </c>
      <c r="H282" s="8">
        <v>0</v>
      </c>
    </row>
    <row r="283" spans="1:8" x14ac:dyDescent="0.3">
      <c r="A283" t="s">
        <v>238</v>
      </c>
      <c r="B283" t="s">
        <v>178</v>
      </c>
      <c r="C283" t="s">
        <v>8</v>
      </c>
      <c r="D283" t="s">
        <v>9</v>
      </c>
      <c r="E283">
        <v>9</v>
      </c>
      <c r="F283" s="8">
        <v>0</v>
      </c>
      <c r="G283" t="str">
        <f t="shared" si="4"/>
        <v/>
      </c>
      <c r="H283" s="8">
        <v>0</v>
      </c>
    </row>
    <row r="284" spans="1:8" x14ac:dyDescent="0.3">
      <c r="A284" t="s">
        <v>102</v>
      </c>
      <c r="B284" t="s">
        <v>25</v>
      </c>
      <c r="C284" t="s">
        <v>71</v>
      </c>
      <c r="D284" t="s">
        <v>72</v>
      </c>
      <c r="E284">
        <v>25</v>
      </c>
      <c r="F284" s="8">
        <v>0</v>
      </c>
      <c r="G284" t="str">
        <f t="shared" si="4"/>
        <v/>
      </c>
      <c r="H284" s="8">
        <v>0</v>
      </c>
    </row>
    <row r="285" spans="1:8" x14ac:dyDescent="0.3">
      <c r="A285" t="s">
        <v>556</v>
      </c>
      <c r="B285" t="s">
        <v>25</v>
      </c>
      <c r="C285" t="s">
        <v>71</v>
      </c>
      <c r="D285" t="s">
        <v>72</v>
      </c>
      <c r="E285">
        <v>1</v>
      </c>
      <c r="F285" s="8">
        <v>0</v>
      </c>
      <c r="G285" t="str">
        <f t="shared" si="4"/>
        <v/>
      </c>
      <c r="H285" s="8">
        <v>0</v>
      </c>
    </row>
    <row r="286" spans="1:8" x14ac:dyDescent="0.3">
      <c r="A286" t="s">
        <v>543</v>
      </c>
      <c r="B286" t="s">
        <v>25</v>
      </c>
      <c r="C286" t="s">
        <v>71</v>
      </c>
      <c r="D286" t="s">
        <v>72</v>
      </c>
      <c r="E286">
        <v>1</v>
      </c>
      <c r="F286" s="8">
        <v>0</v>
      </c>
      <c r="G286" t="str">
        <f t="shared" si="4"/>
        <v/>
      </c>
      <c r="H286" s="8">
        <v>0</v>
      </c>
    </row>
    <row r="287" spans="1:8" x14ac:dyDescent="0.3">
      <c r="A287" t="s">
        <v>187</v>
      </c>
      <c r="B287" t="s">
        <v>25</v>
      </c>
      <c r="C287" t="s">
        <v>16</v>
      </c>
      <c r="D287" t="s">
        <v>188</v>
      </c>
      <c r="E287">
        <v>13</v>
      </c>
      <c r="F287" s="8">
        <v>0</v>
      </c>
      <c r="G287" t="str">
        <f t="shared" si="4"/>
        <v/>
      </c>
      <c r="H287" s="8">
        <v>0</v>
      </c>
    </row>
    <row r="288" spans="1:8" x14ac:dyDescent="0.3">
      <c r="A288" t="s">
        <v>357</v>
      </c>
      <c r="B288" t="s">
        <v>25</v>
      </c>
      <c r="C288" t="s">
        <v>16</v>
      </c>
      <c r="D288" t="s">
        <v>111</v>
      </c>
      <c r="E288">
        <v>6</v>
      </c>
      <c r="F288" s="8">
        <v>0</v>
      </c>
      <c r="G288" t="str">
        <f t="shared" si="4"/>
        <v/>
      </c>
      <c r="H288" s="8">
        <v>0</v>
      </c>
    </row>
    <row r="289" spans="1:8" x14ac:dyDescent="0.3">
      <c r="A289" t="s">
        <v>483</v>
      </c>
      <c r="B289" t="s">
        <v>25</v>
      </c>
      <c r="C289" t="s">
        <v>16</v>
      </c>
      <c r="D289" t="s">
        <v>146</v>
      </c>
      <c r="E289">
        <v>2</v>
      </c>
      <c r="F289" s="8">
        <v>0</v>
      </c>
      <c r="G289" t="str">
        <f t="shared" si="4"/>
        <v/>
      </c>
      <c r="H289" s="8">
        <v>0</v>
      </c>
    </row>
    <row r="290" spans="1:8" x14ac:dyDescent="0.3">
      <c r="A290" t="s">
        <v>403</v>
      </c>
      <c r="B290" t="s">
        <v>25</v>
      </c>
      <c r="C290" t="s">
        <v>16</v>
      </c>
      <c r="D290" t="s">
        <v>188</v>
      </c>
      <c r="E290">
        <v>5</v>
      </c>
      <c r="F290" s="8">
        <v>0</v>
      </c>
      <c r="G290" t="str">
        <f t="shared" si="4"/>
        <v/>
      </c>
      <c r="H290" s="8">
        <v>0</v>
      </c>
    </row>
    <row r="291" spans="1:8" x14ac:dyDescent="0.3">
      <c r="A291" t="s">
        <v>191</v>
      </c>
      <c r="B291" t="s">
        <v>25</v>
      </c>
      <c r="C291" t="s">
        <v>16</v>
      </c>
      <c r="D291" t="s">
        <v>88</v>
      </c>
      <c r="E291">
        <v>13</v>
      </c>
      <c r="F291" s="8">
        <v>0</v>
      </c>
      <c r="G291" t="str">
        <f t="shared" si="4"/>
        <v/>
      </c>
      <c r="H291" s="8">
        <v>0</v>
      </c>
    </row>
    <row r="292" spans="1:8" x14ac:dyDescent="0.3">
      <c r="A292" t="s">
        <v>155</v>
      </c>
      <c r="B292" t="s">
        <v>25</v>
      </c>
      <c r="C292" t="s">
        <v>16</v>
      </c>
      <c r="D292" t="s">
        <v>88</v>
      </c>
      <c r="E292">
        <v>16</v>
      </c>
      <c r="F292" s="8">
        <v>0</v>
      </c>
      <c r="G292" t="str">
        <f t="shared" si="4"/>
        <v/>
      </c>
      <c r="H292" s="8">
        <v>0</v>
      </c>
    </row>
    <row r="293" spans="1:8" x14ac:dyDescent="0.3">
      <c r="A293" t="s">
        <v>106</v>
      </c>
      <c r="B293" t="s">
        <v>25</v>
      </c>
      <c r="C293" t="s">
        <v>16</v>
      </c>
      <c r="D293" t="s">
        <v>88</v>
      </c>
      <c r="E293">
        <v>24</v>
      </c>
      <c r="F293" s="8">
        <v>0</v>
      </c>
      <c r="G293" t="str">
        <f t="shared" si="4"/>
        <v/>
      </c>
      <c r="H293" s="8">
        <v>0</v>
      </c>
    </row>
    <row r="294" spans="1:8" x14ac:dyDescent="0.3">
      <c r="A294" t="s">
        <v>362</v>
      </c>
      <c r="B294" t="s">
        <v>25</v>
      </c>
      <c r="C294" t="s">
        <v>16</v>
      </c>
      <c r="D294" t="s">
        <v>88</v>
      </c>
      <c r="E294">
        <v>6</v>
      </c>
      <c r="F294" s="8">
        <v>0</v>
      </c>
      <c r="G294" t="str">
        <f t="shared" si="4"/>
        <v/>
      </c>
      <c r="H294" s="8">
        <v>0</v>
      </c>
    </row>
    <row r="295" spans="1:8" x14ac:dyDescent="0.3">
      <c r="A295" t="s">
        <v>337</v>
      </c>
      <c r="B295" t="s">
        <v>25</v>
      </c>
      <c r="C295" t="s">
        <v>20</v>
      </c>
      <c r="D295" t="s">
        <v>96</v>
      </c>
      <c r="E295">
        <v>6</v>
      </c>
      <c r="F295" s="8">
        <v>0</v>
      </c>
      <c r="G295" t="str">
        <f t="shared" si="4"/>
        <v/>
      </c>
      <c r="H295" s="8">
        <v>0</v>
      </c>
    </row>
    <row r="296" spans="1:8" x14ac:dyDescent="0.3">
      <c r="A296" t="s">
        <v>413</v>
      </c>
      <c r="B296" t="s">
        <v>25</v>
      </c>
      <c r="C296" t="s">
        <v>20</v>
      </c>
      <c r="D296" t="s">
        <v>83</v>
      </c>
      <c r="E296">
        <v>4</v>
      </c>
      <c r="F296" s="8">
        <v>0</v>
      </c>
      <c r="G296" t="str">
        <f t="shared" si="4"/>
        <v/>
      </c>
      <c r="H296" s="8">
        <v>0</v>
      </c>
    </row>
    <row r="297" spans="1:8" x14ac:dyDescent="0.3">
      <c r="A297" t="s">
        <v>510</v>
      </c>
      <c r="B297" t="s">
        <v>25</v>
      </c>
      <c r="C297" t="s">
        <v>20</v>
      </c>
      <c r="D297" t="s">
        <v>27</v>
      </c>
      <c r="E297">
        <v>1</v>
      </c>
      <c r="F297" s="8">
        <v>0</v>
      </c>
      <c r="G297" t="str">
        <f t="shared" si="4"/>
        <v/>
      </c>
      <c r="H297" s="8">
        <v>0</v>
      </c>
    </row>
    <row r="298" spans="1:8" x14ac:dyDescent="0.3">
      <c r="A298" t="s">
        <v>196</v>
      </c>
      <c r="B298" t="s">
        <v>25</v>
      </c>
      <c r="C298" t="s">
        <v>20</v>
      </c>
      <c r="D298" t="s">
        <v>27</v>
      </c>
      <c r="E298">
        <v>12</v>
      </c>
      <c r="F298" s="8">
        <v>0</v>
      </c>
      <c r="G298" t="str">
        <f t="shared" si="4"/>
        <v/>
      </c>
      <c r="H298" s="8">
        <v>0</v>
      </c>
    </row>
    <row r="299" spans="1:8" x14ac:dyDescent="0.3">
      <c r="A299" t="s">
        <v>331</v>
      </c>
      <c r="B299" t="s">
        <v>25</v>
      </c>
      <c r="C299" t="s">
        <v>20</v>
      </c>
      <c r="D299" t="s">
        <v>20</v>
      </c>
      <c r="E299">
        <v>6</v>
      </c>
      <c r="F299" s="8">
        <v>0</v>
      </c>
      <c r="G299" t="str">
        <f t="shared" si="4"/>
        <v/>
      </c>
      <c r="H299" s="8">
        <v>0</v>
      </c>
    </row>
    <row r="300" spans="1:8" x14ac:dyDescent="0.3">
      <c r="A300" t="s">
        <v>338</v>
      </c>
      <c r="B300" t="s">
        <v>25</v>
      </c>
      <c r="C300" t="s">
        <v>20</v>
      </c>
      <c r="D300" t="s">
        <v>23</v>
      </c>
      <c r="E300">
        <v>6</v>
      </c>
      <c r="F300" s="8">
        <v>0</v>
      </c>
      <c r="G300" t="str">
        <f t="shared" si="4"/>
        <v/>
      </c>
      <c r="H300" s="8">
        <v>0</v>
      </c>
    </row>
    <row r="301" spans="1:8" x14ac:dyDescent="0.3">
      <c r="A301" t="s">
        <v>99</v>
      </c>
      <c r="B301" t="s">
        <v>25</v>
      </c>
      <c r="C301" t="s">
        <v>20</v>
      </c>
      <c r="D301" t="s">
        <v>27</v>
      </c>
      <c r="E301">
        <v>25</v>
      </c>
      <c r="F301" s="8">
        <v>0</v>
      </c>
      <c r="G301" t="str">
        <f t="shared" si="4"/>
        <v/>
      </c>
      <c r="H301" s="8">
        <v>0</v>
      </c>
    </row>
    <row r="302" spans="1:8" x14ac:dyDescent="0.3">
      <c r="A302" t="s">
        <v>95</v>
      </c>
      <c r="B302" t="s">
        <v>25</v>
      </c>
      <c r="C302" t="s">
        <v>20</v>
      </c>
      <c r="D302" t="s">
        <v>96</v>
      </c>
      <c r="E302">
        <v>26</v>
      </c>
      <c r="F302" s="8">
        <v>0</v>
      </c>
      <c r="G302" t="str">
        <f t="shared" si="4"/>
        <v/>
      </c>
      <c r="H302" s="8">
        <v>0</v>
      </c>
    </row>
    <row r="303" spans="1:8" x14ac:dyDescent="0.3">
      <c r="A303" t="s">
        <v>451</v>
      </c>
      <c r="B303" t="s">
        <v>25</v>
      </c>
      <c r="C303" t="s">
        <v>20</v>
      </c>
      <c r="D303" t="s">
        <v>452</v>
      </c>
      <c r="E303">
        <v>3</v>
      </c>
      <c r="F303" s="8">
        <v>0</v>
      </c>
      <c r="G303" t="str">
        <f t="shared" si="4"/>
        <v/>
      </c>
      <c r="H303" s="8">
        <v>0</v>
      </c>
    </row>
    <row r="304" spans="1:8" x14ac:dyDescent="0.3">
      <c r="A304" t="s">
        <v>36</v>
      </c>
      <c r="B304" t="s">
        <v>25</v>
      </c>
      <c r="C304" t="s">
        <v>20</v>
      </c>
      <c r="D304" t="s">
        <v>21</v>
      </c>
      <c r="E304">
        <v>90</v>
      </c>
      <c r="F304" s="8">
        <v>0</v>
      </c>
      <c r="G304" t="str">
        <f t="shared" si="4"/>
        <v/>
      </c>
      <c r="H304" s="8">
        <v>0</v>
      </c>
    </row>
    <row r="305" spans="1:9" x14ac:dyDescent="0.3">
      <c r="A305" t="s">
        <v>40</v>
      </c>
      <c r="B305" t="s">
        <v>25</v>
      </c>
      <c r="C305" t="s">
        <v>20</v>
      </c>
      <c r="D305" t="s">
        <v>23</v>
      </c>
      <c r="E305">
        <v>64</v>
      </c>
      <c r="F305" s="8">
        <v>0</v>
      </c>
      <c r="G305" t="str">
        <f t="shared" si="4"/>
        <v/>
      </c>
      <c r="H305" s="8">
        <v>0</v>
      </c>
    </row>
    <row r="306" spans="1:9" x14ac:dyDescent="0.3">
      <c r="A306" t="s">
        <v>335</v>
      </c>
      <c r="B306" t="s">
        <v>25</v>
      </c>
      <c r="C306" t="s">
        <v>20</v>
      </c>
      <c r="D306" t="s">
        <v>27</v>
      </c>
      <c r="E306">
        <v>6</v>
      </c>
      <c r="F306" s="8">
        <v>0</v>
      </c>
      <c r="G306" t="str">
        <f t="shared" si="4"/>
        <v/>
      </c>
      <c r="H306" s="8">
        <v>0</v>
      </c>
    </row>
    <row r="307" spans="1:9" x14ac:dyDescent="0.3">
      <c r="A307" t="s">
        <v>116</v>
      </c>
      <c r="B307" t="s">
        <v>25</v>
      </c>
      <c r="C307" t="s">
        <v>20</v>
      </c>
      <c r="D307" t="s">
        <v>17</v>
      </c>
      <c r="E307">
        <v>22</v>
      </c>
      <c r="F307" s="8">
        <v>0</v>
      </c>
      <c r="G307" t="str">
        <f t="shared" si="4"/>
        <v/>
      </c>
      <c r="H307" s="8">
        <v>0</v>
      </c>
    </row>
    <row r="308" spans="1:9" x14ac:dyDescent="0.3">
      <c r="A308" t="s">
        <v>218</v>
      </c>
      <c r="B308" t="s">
        <v>25</v>
      </c>
      <c r="C308" t="s">
        <v>8</v>
      </c>
      <c r="D308" t="s">
        <v>9</v>
      </c>
      <c r="E308">
        <v>10</v>
      </c>
      <c r="F308" s="8">
        <v>0</v>
      </c>
      <c r="G308" t="str">
        <f t="shared" si="4"/>
        <v/>
      </c>
      <c r="H308" s="8">
        <v>0</v>
      </c>
    </row>
    <row r="309" spans="1:9" x14ac:dyDescent="0.3">
      <c r="A309" t="s">
        <v>285</v>
      </c>
      <c r="B309" t="s">
        <v>25</v>
      </c>
      <c r="C309" t="s">
        <v>8</v>
      </c>
      <c r="D309" t="s">
        <v>9</v>
      </c>
      <c r="E309">
        <v>7</v>
      </c>
      <c r="F309" s="8">
        <v>0</v>
      </c>
      <c r="G309" t="str">
        <f t="shared" si="4"/>
        <v/>
      </c>
      <c r="H309" s="8">
        <v>0</v>
      </c>
    </row>
    <row r="310" spans="1:9" x14ac:dyDescent="0.3">
      <c r="A310" t="s">
        <v>43</v>
      </c>
      <c r="B310" t="s">
        <v>25</v>
      </c>
      <c r="C310" t="s">
        <v>8</v>
      </c>
      <c r="D310" t="s">
        <v>8</v>
      </c>
      <c r="E310">
        <v>60</v>
      </c>
      <c r="F310" s="8">
        <v>0</v>
      </c>
      <c r="G310" t="str">
        <f t="shared" si="4"/>
        <v/>
      </c>
      <c r="H310" s="8">
        <v>0</v>
      </c>
    </row>
    <row r="311" spans="1:9" x14ac:dyDescent="0.3">
      <c r="A311" t="s">
        <v>179</v>
      </c>
      <c r="B311" t="s">
        <v>25</v>
      </c>
      <c r="C311" t="s">
        <v>8</v>
      </c>
      <c r="D311" t="s">
        <v>8</v>
      </c>
      <c r="E311">
        <v>13</v>
      </c>
      <c r="F311" s="8">
        <v>0</v>
      </c>
      <c r="G311" t="str">
        <f t="shared" si="4"/>
        <v/>
      </c>
      <c r="H311" s="8">
        <v>0</v>
      </c>
    </row>
    <row r="312" spans="1:9" x14ac:dyDescent="0.3">
      <c r="A312" t="s">
        <v>24</v>
      </c>
      <c r="B312" t="s">
        <v>25</v>
      </c>
      <c r="C312" t="s">
        <v>8</v>
      </c>
      <c r="D312" t="s">
        <v>9</v>
      </c>
      <c r="E312">
        <v>116</v>
      </c>
      <c r="F312" s="8">
        <v>0</v>
      </c>
      <c r="G312" t="str">
        <f t="shared" si="4"/>
        <v/>
      </c>
      <c r="H312" s="8">
        <v>0</v>
      </c>
    </row>
    <row r="313" spans="1:9" x14ac:dyDescent="0.3">
      <c r="A313" t="s">
        <v>544</v>
      </c>
      <c r="B313" t="s">
        <v>142</v>
      </c>
      <c r="C313" t="s">
        <v>71</v>
      </c>
      <c r="D313" t="s">
        <v>72</v>
      </c>
      <c r="E313">
        <v>1</v>
      </c>
      <c r="F313" s="8">
        <v>0</v>
      </c>
      <c r="G313">
        <f t="shared" si="4"/>
        <v>3.9</v>
      </c>
      <c r="H313" s="8">
        <v>0</v>
      </c>
      <c r="I313">
        <v>3.9</v>
      </c>
    </row>
    <row r="314" spans="1:9" x14ac:dyDescent="0.3">
      <c r="A314" t="s">
        <v>535</v>
      </c>
      <c r="B314" t="s">
        <v>142</v>
      </c>
      <c r="C314" t="s">
        <v>71</v>
      </c>
      <c r="D314" t="s">
        <v>72</v>
      </c>
      <c r="E314">
        <v>1</v>
      </c>
      <c r="F314" s="8">
        <v>0</v>
      </c>
      <c r="G314" t="str">
        <f t="shared" si="4"/>
        <v/>
      </c>
      <c r="H314" s="8">
        <v>0</v>
      </c>
    </row>
    <row r="315" spans="1:9" x14ac:dyDescent="0.3">
      <c r="A315" t="s">
        <v>366</v>
      </c>
      <c r="B315" t="s">
        <v>142</v>
      </c>
      <c r="C315" t="s">
        <v>71</v>
      </c>
      <c r="D315" t="s">
        <v>72</v>
      </c>
      <c r="E315">
        <v>6</v>
      </c>
      <c r="F315" s="8">
        <v>0</v>
      </c>
      <c r="G315" t="str">
        <f t="shared" si="4"/>
        <v/>
      </c>
      <c r="H315" s="8">
        <v>0</v>
      </c>
    </row>
    <row r="316" spans="1:9" x14ac:dyDescent="0.3">
      <c r="A316" t="s">
        <v>527</v>
      </c>
      <c r="B316" t="s">
        <v>142</v>
      </c>
      <c r="C316" t="s">
        <v>16</v>
      </c>
      <c r="D316" t="s">
        <v>88</v>
      </c>
      <c r="E316">
        <v>1</v>
      </c>
      <c r="F316" s="8">
        <v>0</v>
      </c>
      <c r="G316" t="str">
        <f t="shared" si="4"/>
        <v/>
      </c>
      <c r="H316" s="8">
        <v>0</v>
      </c>
    </row>
    <row r="317" spans="1:9" x14ac:dyDescent="0.3">
      <c r="A317" t="s">
        <v>485</v>
      </c>
      <c r="B317" t="s">
        <v>142</v>
      </c>
      <c r="C317" t="s">
        <v>16</v>
      </c>
      <c r="D317" t="s">
        <v>131</v>
      </c>
      <c r="E317">
        <v>2</v>
      </c>
      <c r="F317" s="8">
        <v>0</v>
      </c>
      <c r="G317">
        <f t="shared" si="4"/>
        <v>6.6</v>
      </c>
      <c r="H317" s="8">
        <v>0</v>
      </c>
      <c r="I317">
        <v>6.6</v>
      </c>
    </row>
    <row r="318" spans="1:9" x14ac:dyDescent="0.3">
      <c r="A318" t="s">
        <v>356</v>
      </c>
      <c r="B318" t="s">
        <v>142</v>
      </c>
      <c r="C318" t="s">
        <v>16</v>
      </c>
      <c r="D318" t="s">
        <v>174</v>
      </c>
      <c r="E318">
        <v>6</v>
      </c>
      <c r="F318" s="8">
        <v>0</v>
      </c>
      <c r="G318">
        <f t="shared" si="4"/>
        <v>6.2</v>
      </c>
      <c r="H318" s="8">
        <v>0</v>
      </c>
      <c r="I318">
        <v>6.2</v>
      </c>
    </row>
    <row r="319" spans="1:9" x14ac:dyDescent="0.3">
      <c r="A319" t="s">
        <v>404</v>
      </c>
      <c r="B319" t="s">
        <v>142</v>
      </c>
      <c r="C319" t="s">
        <v>16</v>
      </c>
      <c r="D319" t="s">
        <v>146</v>
      </c>
      <c r="E319">
        <v>5</v>
      </c>
      <c r="F319" s="8">
        <v>0</v>
      </c>
      <c r="G319">
        <f t="shared" si="4"/>
        <v>6.2</v>
      </c>
      <c r="H319" s="8">
        <v>0</v>
      </c>
      <c r="I319">
        <v>6.2</v>
      </c>
    </row>
    <row r="320" spans="1:9" x14ac:dyDescent="0.3">
      <c r="A320" t="s">
        <v>365</v>
      </c>
      <c r="B320" t="s">
        <v>142</v>
      </c>
      <c r="C320" t="s">
        <v>16</v>
      </c>
      <c r="D320" t="s">
        <v>88</v>
      </c>
      <c r="E320">
        <v>6</v>
      </c>
      <c r="F320" s="8">
        <v>0</v>
      </c>
      <c r="G320" t="str">
        <f t="shared" si="4"/>
        <v/>
      </c>
      <c r="H320" s="8">
        <v>0</v>
      </c>
      <c r="I320" s="1" t="s">
        <v>745</v>
      </c>
    </row>
    <row r="321" spans="1:11" x14ac:dyDescent="0.3">
      <c r="A321" t="s">
        <v>392</v>
      </c>
      <c r="B321" t="s">
        <v>142</v>
      </c>
      <c r="C321" t="s">
        <v>16</v>
      </c>
      <c r="D321" t="s">
        <v>111</v>
      </c>
      <c r="E321">
        <v>5</v>
      </c>
      <c r="F321" s="8">
        <v>0</v>
      </c>
      <c r="G321">
        <f t="shared" si="4"/>
        <v>6.3</v>
      </c>
      <c r="H321" s="8">
        <v>0</v>
      </c>
      <c r="I321">
        <v>6.3</v>
      </c>
    </row>
    <row r="322" spans="1:11" x14ac:dyDescent="0.3">
      <c r="A322" t="s">
        <v>352</v>
      </c>
      <c r="B322" t="s">
        <v>142</v>
      </c>
      <c r="C322" t="s">
        <v>16</v>
      </c>
      <c r="D322" t="s">
        <v>88</v>
      </c>
      <c r="E322">
        <v>6</v>
      </c>
      <c r="F322" s="8">
        <v>0</v>
      </c>
      <c r="G322">
        <f t="shared" si="4"/>
        <v>6.2</v>
      </c>
      <c r="H322" s="8">
        <v>0</v>
      </c>
      <c r="I322">
        <v>6.2</v>
      </c>
    </row>
    <row r="323" spans="1:11" x14ac:dyDescent="0.3">
      <c r="A323" t="s">
        <v>273</v>
      </c>
      <c r="B323" t="s">
        <v>142</v>
      </c>
      <c r="C323" t="s">
        <v>16</v>
      </c>
      <c r="D323" t="s">
        <v>188</v>
      </c>
      <c r="E323">
        <v>8</v>
      </c>
      <c r="F323" s="8">
        <v>0</v>
      </c>
      <c r="G323">
        <f t="shared" si="4"/>
        <v>5.6</v>
      </c>
      <c r="H323" s="8">
        <v>0</v>
      </c>
      <c r="I323">
        <v>5.6</v>
      </c>
    </row>
    <row r="324" spans="1:11" x14ac:dyDescent="0.3">
      <c r="A324" t="s">
        <v>268</v>
      </c>
      <c r="B324" t="s">
        <v>142</v>
      </c>
      <c r="C324" t="s">
        <v>20</v>
      </c>
      <c r="D324" t="s">
        <v>20</v>
      </c>
      <c r="E324">
        <v>8</v>
      </c>
      <c r="F324" s="8">
        <v>0</v>
      </c>
      <c r="G324" t="str">
        <f t="shared" ref="G324:G389" si="5">IFERROR(AVERAGE(I324:AT324),"")</f>
        <v/>
      </c>
      <c r="H324" s="8">
        <v>0</v>
      </c>
    </row>
    <row r="325" spans="1:11" x14ac:dyDescent="0.3">
      <c r="A325" t="s">
        <v>449</v>
      </c>
      <c r="B325" t="s">
        <v>142</v>
      </c>
      <c r="C325" t="s">
        <v>20</v>
      </c>
      <c r="D325" t="s">
        <v>17</v>
      </c>
      <c r="E325">
        <v>3</v>
      </c>
      <c r="F325" s="8">
        <v>0</v>
      </c>
      <c r="G325" t="str">
        <f t="shared" si="5"/>
        <v/>
      </c>
      <c r="H325" s="8">
        <v>0</v>
      </c>
    </row>
    <row r="326" spans="1:11" x14ac:dyDescent="0.3">
      <c r="A326" t="s">
        <v>412</v>
      </c>
      <c r="B326" t="s">
        <v>142</v>
      </c>
      <c r="C326" t="s">
        <v>20</v>
      </c>
      <c r="D326" t="s">
        <v>27</v>
      </c>
      <c r="E326">
        <v>4</v>
      </c>
      <c r="F326" s="8">
        <v>0</v>
      </c>
      <c r="G326" t="str">
        <f t="shared" si="5"/>
        <v/>
      </c>
      <c r="H326" s="8">
        <v>0</v>
      </c>
    </row>
    <row r="327" spans="1:11" x14ac:dyDescent="0.3">
      <c r="A327" t="s">
        <v>185</v>
      </c>
      <c r="B327" t="s">
        <v>142</v>
      </c>
      <c r="C327" t="s">
        <v>20</v>
      </c>
      <c r="D327" t="s">
        <v>48</v>
      </c>
      <c r="E327">
        <v>13</v>
      </c>
      <c r="F327" s="8">
        <v>0</v>
      </c>
      <c r="G327">
        <f t="shared" si="5"/>
        <v>5.7</v>
      </c>
      <c r="H327" s="8">
        <v>0</v>
      </c>
      <c r="I327">
        <v>5.7</v>
      </c>
    </row>
    <row r="328" spans="1:11" x14ac:dyDescent="0.3">
      <c r="A328" t="s">
        <v>517</v>
      </c>
      <c r="B328" t="s">
        <v>142</v>
      </c>
      <c r="C328" t="s">
        <v>20</v>
      </c>
      <c r="D328" t="s">
        <v>83</v>
      </c>
      <c r="E328">
        <v>1</v>
      </c>
      <c r="F328" s="8">
        <v>0</v>
      </c>
      <c r="G328">
        <f t="shared" si="5"/>
        <v>6.4</v>
      </c>
      <c r="H328" s="8">
        <v>0</v>
      </c>
      <c r="I328">
        <v>6.4</v>
      </c>
    </row>
    <row r="329" spans="1:11" x14ac:dyDescent="0.3">
      <c r="A329" t="s">
        <v>271</v>
      </c>
      <c r="B329" t="s">
        <v>142</v>
      </c>
      <c r="C329" t="s">
        <v>20</v>
      </c>
      <c r="D329" t="s">
        <v>27</v>
      </c>
      <c r="E329">
        <v>8</v>
      </c>
      <c r="F329" s="8">
        <v>0</v>
      </c>
      <c r="G329" t="str">
        <f t="shared" si="5"/>
        <v/>
      </c>
      <c r="H329" s="8">
        <v>0</v>
      </c>
    </row>
    <row r="330" spans="1:11" x14ac:dyDescent="0.3">
      <c r="A330" t="s">
        <v>264</v>
      </c>
      <c r="B330" t="s">
        <v>142</v>
      </c>
      <c r="C330" t="s">
        <v>20</v>
      </c>
      <c r="D330" t="s">
        <v>265</v>
      </c>
      <c r="E330">
        <v>8</v>
      </c>
      <c r="F330" s="8">
        <v>0</v>
      </c>
      <c r="G330" t="str">
        <f t="shared" si="5"/>
        <v/>
      </c>
      <c r="H330" s="8">
        <v>0</v>
      </c>
    </row>
    <row r="331" spans="1:11" x14ac:dyDescent="0.3">
      <c r="A331" t="s">
        <v>141</v>
      </c>
      <c r="B331" t="s">
        <v>142</v>
      </c>
      <c r="C331" t="s">
        <v>8</v>
      </c>
      <c r="D331" t="s">
        <v>9</v>
      </c>
      <c r="E331">
        <v>17</v>
      </c>
      <c r="F331" s="8">
        <v>0</v>
      </c>
      <c r="G331">
        <f t="shared" si="5"/>
        <v>6.4</v>
      </c>
      <c r="H331" s="8">
        <v>0</v>
      </c>
      <c r="I331">
        <v>6.4</v>
      </c>
    </row>
    <row r="332" spans="1:11" x14ac:dyDescent="0.3">
      <c r="A332" t="s">
        <v>240</v>
      </c>
      <c r="B332" t="s">
        <v>142</v>
      </c>
      <c r="C332" t="s">
        <v>8</v>
      </c>
      <c r="D332" t="s">
        <v>8</v>
      </c>
      <c r="E332">
        <v>9</v>
      </c>
      <c r="F332" s="8">
        <v>0</v>
      </c>
      <c r="G332" t="str">
        <f t="shared" si="5"/>
        <v/>
      </c>
      <c r="H332" s="8">
        <v>0</v>
      </c>
    </row>
    <row r="333" spans="1:11" x14ac:dyDescent="0.3">
      <c r="A333" t="s">
        <v>367</v>
      </c>
      <c r="B333" t="s">
        <v>142</v>
      </c>
      <c r="C333" t="s">
        <v>8</v>
      </c>
      <c r="D333" t="s">
        <v>8</v>
      </c>
      <c r="E333">
        <v>5</v>
      </c>
      <c r="F333" s="8">
        <v>0</v>
      </c>
      <c r="G333" t="str">
        <f t="shared" si="5"/>
        <v/>
      </c>
      <c r="H333" s="8">
        <v>0</v>
      </c>
      <c r="I333" s="1" t="s">
        <v>746</v>
      </c>
    </row>
    <row r="334" spans="1:11" x14ac:dyDescent="0.3">
      <c r="A334" t="s">
        <v>410</v>
      </c>
      <c r="B334" t="s">
        <v>142</v>
      </c>
      <c r="C334" t="s">
        <v>8</v>
      </c>
      <c r="D334" t="s">
        <v>9</v>
      </c>
      <c r="E334">
        <v>4</v>
      </c>
      <c r="F334" s="8">
        <v>0</v>
      </c>
      <c r="G334">
        <f t="shared" si="5"/>
        <v>6.4</v>
      </c>
      <c r="H334" s="8">
        <v>0</v>
      </c>
      <c r="I334">
        <v>6.4</v>
      </c>
      <c r="J334" s="1"/>
      <c r="K334" s="1"/>
    </row>
    <row r="335" spans="1:11" x14ac:dyDescent="0.3">
      <c r="A335" t="s">
        <v>555</v>
      </c>
      <c r="B335" t="s">
        <v>14</v>
      </c>
      <c r="C335" t="s">
        <v>71</v>
      </c>
      <c r="D335" t="s">
        <v>72</v>
      </c>
      <c r="E335">
        <v>1</v>
      </c>
      <c r="F335" s="8">
        <v>9</v>
      </c>
      <c r="G335" t="str">
        <f t="shared" si="5"/>
        <v/>
      </c>
      <c r="H335" s="8">
        <v>0</v>
      </c>
    </row>
    <row r="336" spans="1:11" x14ac:dyDescent="0.3">
      <c r="A336" t="s">
        <v>113</v>
      </c>
      <c r="B336" t="s">
        <v>14</v>
      </c>
      <c r="C336" t="s">
        <v>71</v>
      </c>
      <c r="D336" t="s">
        <v>72</v>
      </c>
      <c r="E336">
        <v>23</v>
      </c>
      <c r="F336" s="8">
        <v>0</v>
      </c>
      <c r="G336">
        <f t="shared" si="5"/>
        <v>6.7</v>
      </c>
      <c r="H336" s="8">
        <v>0</v>
      </c>
      <c r="I336">
        <v>6.7</v>
      </c>
    </row>
    <row r="337" spans="1:9" x14ac:dyDescent="0.3">
      <c r="A337" t="s">
        <v>409</v>
      </c>
      <c r="B337" t="s">
        <v>14</v>
      </c>
      <c r="C337" t="s">
        <v>71</v>
      </c>
      <c r="D337" t="s">
        <v>72</v>
      </c>
      <c r="E337">
        <v>5</v>
      </c>
      <c r="F337" s="8">
        <v>0</v>
      </c>
      <c r="G337" t="str">
        <f t="shared" si="5"/>
        <v/>
      </c>
      <c r="H337" s="8">
        <v>0</v>
      </c>
    </row>
    <row r="338" spans="1:9" x14ac:dyDescent="0.3">
      <c r="A338" t="s">
        <v>313</v>
      </c>
      <c r="B338" t="s">
        <v>14</v>
      </c>
      <c r="C338" t="s">
        <v>16</v>
      </c>
      <c r="D338" t="s">
        <v>88</v>
      </c>
      <c r="E338">
        <v>7</v>
      </c>
      <c r="F338" s="8">
        <v>0</v>
      </c>
      <c r="G338" t="str">
        <f t="shared" si="5"/>
        <v/>
      </c>
      <c r="H338" s="8">
        <v>0</v>
      </c>
    </row>
    <row r="339" spans="1:9" x14ac:dyDescent="0.3">
      <c r="A339" t="s">
        <v>281</v>
      </c>
      <c r="B339" t="s">
        <v>14</v>
      </c>
      <c r="C339" t="s">
        <v>16</v>
      </c>
      <c r="D339" t="s">
        <v>88</v>
      </c>
      <c r="E339">
        <v>8</v>
      </c>
      <c r="F339" s="8">
        <v>0</v>
      </c>
      <c r="G339" t="str">
        <f t="shared" si="5"/>
        <v/>
      </c>
      <c r="H339" s="8">
        <v>0</v>
      </c>
    </row>
    <row r="340" spans="1:9" x14ac:dyDescent="0.3">
      <c r="A340" t="s">
        <v>130</v>
      </c>
      <c r="B340" t="s">
        <v>14</v>
      </c>
      <c r="C340" t="s">
        <v>16</v>
      </c>
      <c r="D340" t="s">
        <v>131</v>
      </c>
      <c r="E340">
        <v>20</v>
      </c>
      <c r="F340" s="8">
        <v>0</v>
      </c>
      <c r="G340">
        <f t="shared" si="5"/>
        <v>7.9</v>
      </c>
      <c r="H340" s="8">
        <v>0</v>
      </c>
      <c r="I340">
        <v>7.9</v>
      </c>
    </row>
    <row r="341" spans="1:9" x14ac:dyDescent="0.3">
      <c r="A341" t="s">
        <v>342</v>
      </c>
      <c r="B341" t="s">
        <v>14</v>
      </c>
      <c r="C341" t="s">
        <v>16</v>
      </c>
      <c r="D341" t="s">
        <v>174</v>
      </c>
      <c r="E341">
        <v>6</v>
      </c>
      <c r="F341" s="8">
        <v>0</v>
      </c>
      <c r="G341" t="str">
        <f t="shared" si="5"/>
        <v/>
      </c>
      <c r="H341" s="8">
        <v>0</v>
      </c>
    </row>
    <row r="342" spans="1:9" x14ac:dyDescent="0.3">
      <c r="A342" t="s">
        <v>492</v>
      </c>
      <c r="B342" t="s">
        <v>14</v>
      </c>
      <c r="C342" t="s">
        <v>16</v>
      </c>
      <c r="D342" t="s">
        <v>88</v>
      </c>
      <c r="E342">
        <v>2</v>
      </c>
      <c r="F342" s="8">
        <v>0</v>
      </c>
      <c r="G342" t="str">
        <f t="shared" si="5"/>
        <v/>
      </c>
      <c r="H342" s="8">
        <v>0</v>
      </c>
    </row>
    <row r="343" spans="1:9" x14ac:dyDescent="0.3">
      <c r="A343" t="s">
        <v>459</v>
      </c>
      <c r="B343" t="s">
        <v>14</v>
      </c>
      <c r="C343" t="s">
        <v>16</v>
      </c>
      <c r="D343" t="s">
        <v>88</v>
      </c>
      <c r="E343">
        <v>3</v>
      </c>
      <c r="F343" s="8">
        <v>0</v>
      </c>
      <c r="G343">
        <f t="shared" si="5"/>
        <v>6.8</v>
      </c>
      <c r="H343" s="8">
        <v>0</v>
      </c>
      <c r="I343">
        <v>6.8</v>
      </c>
    </row>
    <row r="344" spans="1:9" x14ac:dyDescent="0.3">
      <c r="A344" t="s">
        <v>498</v>
      </c>
      <c r="B344" t="s">
        <v>14</v>
      </c>
      <c r="C344" t="s">
        <v>16</v>
      </c>
      <c r="D344" t="s">
        <v>174</v>
      </c>
      <c r="E344">
        <v>2</v>
      </c>
      <c r="F344" s="8">
        <v>0</v>
      </c>
      <c r="G344" t="str">
        <f t="shared" si="5"/>
        <v/>
      </c>
      <c r="H344" s="8">
        <v>0</v>
      </c>
    </row>
    <row r="345" spans="1:9" x14ac:dyDescent="0.3">
      <c r="A345" t="s">
        <v>314</v>
      </c>
      <c r="B345" t="s">
        <v>14</v>
      </c>
      <c r="C345" t="s">
        <v>16</v>
      </c>
      <c r="D345" t="s">
        <v>171</v>
      </c>
      <c r="E345">
        <v>7</v>
      </c>
      <c r="F345" s="8">
        <v>0</v>
      </c>
      <c r="G345" t="str">
        <f t="shared" si="5"/>
        <v/>
      </c>
      <c r="H345" s="8">
        <v>0</v>
      </c>
      <c r="I345" s="1" t="s">
        <v>753</v>
      </c>
    </row>
    <row r="346" spans="1:9" x14ac:dyDescent="0.3">
      <c r="A346" t="s">
        <v>107</v>
      </c>
      <c r="B346" t="s">
        <v>14</v>
      </c>
      <c r="C346" t="s">
        <v>16</v>
      </c>
      <c r="D346" t="s">
        <v>88</v>
      </c>
      <c r="E346">
        <v>24</v>
      </c>
      <c r="F346" s="8">
        <v>0</v>
      </c>
      <c r="G346">
        <f t="shared" si="5"/>
        <v>9</v>
      </c>
      <c r="H346" s="8">
        <v>0</v>
      </c>
      <c r="I346">
        <v>9</v>
      </c>
    </row>
    <row r="347" spans="1:9" x14ac:dyDescent="0.3">
      <c r="A347" t="s">
        <v>203</v>
      </c>
      <c r="B347" t="s">
        <v>14</v>
      </c>
      <c r="C347" t="s">
        <v>16</v>
      </c>
      <c r="D347" t="s">
        <v>188</v>
      </c>
      <c r="E347">
        <v>12</v>
      </c>
      <c r="F347" s="8">
        <v>0</v>
      </c>
      <c r="G347">
        <f t="shared" si="5"/>
        <v>7.2</v>
      </c>
      <c r="H347" s="8">
        <v>0</v>
      </c>
      <c r="I347">
        <v>7.2</v>
      </c>
    </row>
    <row r="348" spans="1:9" x14ac:dyDescent="0.3">
      <c r="A348" t="s">
        <v>51</v>
      </c>
      <c r="B348" t="s">
        <v>14</v>
      </c>
      <c r="C348" t="s">
        <v>20</v>
      </c>
      <c r="D348" t="s">
        <v>48</v>
      </c>
      <c r="E348">
        <v>49</v>
      </c>
      <c r="F348" s="8">
        <v>0</v>
      </c>
      <c r="G348">
        <f t="shared" si="5"/>
        <v>8.6</v>
      </c>
      <c r="H348" s="8">
        <v>0</v>
      </c>
      <c r="I348">
        <v>8.6</v>
      </c>
    </row>
    <row r="349" spans="1:9" x14ac:dyDescent="0.3">
      <c r="A349" t="s">
        <v>382</v>
      </c>
      <c r="B349" t="s">
        <v>14</v>
      </c>
      <c r="C349" t="s">
        <v>20</v>
      </c>
      <c r="D349" t="s">
        <v>23</v>
      </c>
      <c r="E349">
        <v>5</v>
      </c>
      <c r="F349" s="8">
        <v>0</v>
      </c>
      <c r="G349" t="str">
        <f t="shared" si="5"/>
        <v/>
      </c>
      <c r="H349" s="8">
        <v>0</v>
      </c>
    </row>
    <row r="350" spans="1:9" x14ac:dyDescent="0.3">
      <c r="A350" t="s">
        <v>385</v>
      </c>
      <c r="B350" t="s">
        <v>14</v>
      </c>
      <c r="C350" t="s">
        <v>20</v>
      </c>
      <c r="D350" t="s">
        <v>27</v>
      </c>
      <c r="E350">
        <v>5</v>
      </c>
      <c r="F350" s="8">
        <v>0</v>
      </c>
      <c r="G350" t="str">
        <f t="shared" si="5"/>
        <v/>
      </c>
      <c r="H350" s="8">
        <v>0</v>
      </c>
    </row>
    <row r="351" spans="1:9" x14ac:dyDescent="0.3">
      <c r="A351" t="s">
        <v>228</v>
      </c>
      <c r="B351" t="s">
        <v>14</v>
      </c>
      <c r="C351" t="s">
        <v>20</v>
      </c>
      <c r="D351" t="s">
        <v>27</v>
      </c>
      <c r="E351">
        <v>10</v>
      </c>
      <c r="F351" s="8">
        <v>0</v>
      </c>
      <c r="G351">
        <f t="shared" si="5"/>
        <v>8.4</v>
      </c>
      <c r="H351" s="8">
        <v>0</v>
      </c>
      <c r="I351">
        <v>8.4</v>
      </c>
    </row>
    <row r="352" spans="1:9" x14ac:dyDescent="0.3">
      <c r="A352" t="s">
        <v>22</v>
      </c>
      <c r="B352" t="s">
        <v>14</v>
      </c>
      <c r="C352" t="s">
        <v>20</v>
      </c>
      <c r="D352" t="s">
        <v>23</v>
      </c>
      <c r="E352">
        <v>120</v>
      </c>
      <c r="F352" s="8">
        <v>0</v>
      </c>
      <c r="G352">
        <f t="shared" si="5"/>
        <v>6.7</v>
      </c>
      <c r="H352" s="8">
        <v>0</v>
      </c>
      <c r="I352">
        <v>6.7</v>
      </c>
    </row>
    <row r="353" spans="1:9" x14ac:dyDescent="0.3">
      <c r="A353" t="s">
        <v>105</v>
      </c>
      <c r="B353" t="s">
        <v>14</v>
      </c>
      <c r="C353" t="s">
        <v>20</v>
      </c>
      <c r="D353" t="s">
        <v>96</v>
      </c>
      <c r="E353">
        <v>24</v>
      </c>
      <c r="F353" s="8">
        <v>0</v>
      </c>
      <c r="G353">
        <f t="shared" si="5"/>
        <v>6.5</v>
      </c>
      <c r="H353" s="8">
        <v>0</v>
      </c>
      <c r="I353">
        <v>6.5</v>
      </c>
    </row>
    <row r="354" spans="1:9" x14ac:dyDescent="0.3">
      <c r="A354" t="s">
        <v>143</v>
      </c>
      <c r="B354" t="s">
        <v>14</v>
      </c>
      <c r="C354" t="s">
        <v>20</v>
      </c>
      <c r="D354" t="s">
        <v>83</v>
      </c>
      <c r="E354">
        <v>17</v>
      </c>
      <c r="F354" s="8">
        <v>0</v>
      </c>
      <c r="G354">
        <f t="shared" si="5"/>
        <v>8.9</v>
      </c>
      <c r="H354" s="8">
        <v>0</v>
      </c>
      <c r="I354">
        <v>8.9</v>
      </c>
    </row>
    <row r="355" spans="1:9" x14ac:dyDescent="0.3">
      <c r="A355" t="s">
        <v>92</v>
      </c>
      <c r="B355" t="s">
        <v>14</v>
      </c>
      <c r="C355" t="s">
        <v>20</v>
      </c>
      <c r="D355" t="s">
        <v>20</v>
      </c>
      <c r="E355">
        <v>27</v>
      </c>
      <c r="F355" s="8">
        <v>0</v>
      </c>
      <c r="G355">
        <f t="shared" si="5"/>
        <v>6.7</v>
      </c>
      <c r="H355" s="8">
        <v>0</v>
      </c>
      <c r="I355">
        <v>6.7</v>
      </c>
    </row>
    <row r="356" spans="1:9" x14ac:dyDescent="0.3">
      <c r="A356" t="s">
        <v>371</v>
      </c>
      <c r="B356" t="s">
        <v>14</v>
      </c>
      <c r="C356" t="s">
        <v>8</v>
      </c>
      <c r="D356" t="s">
        <v>8</v>
      </c>
      <c r="E356">
        <v>5</v>
      </c>
      <c r="F356" s="8">
        <v>0</v>
      </c>
      <c r="G356" t="str">
        <f t="shared" si="5"/>
        <v/>
      </c>
      <c r="H356" s="8">
        <v>0</v>
      </c>
    </row>
    <row r="357" spans="1:9" x14ac:dyDescent="0.3">
      <c r="A357" t="s">
        <v>13</v>
      </c>
      <c r="B357" t="s">
        <v>14</v>
      </c>
      <c r="C357" t="s">
        <v>8</v>
      </c>
      <c r="D357" t="s">
        <v>9</v>
      </c>
      <c r="E357">
        <v>136</v>
      </c>
      <c r="F357" s="8">
        <v>0</v>
      </c>
      <c r="G357">
        <f t="shared" si="5"/>
        <v>5.9</v>
      </c>
      <c r="H357" s="8">
        <v>0</v>
      </c>
      <c r="I357">
        <v>5.9</v>
      </c>
    </row>
    <row r="358" spans="1:9" x14ac:dyDescent="0.3">
      <c r="A358" t="s">
        <v>372</v>
      </c>
      <c r="B358" t="s">
        <v>14</v>
      </c>
      <c r="C358" t="s">
        <v>8</v>
      </c>
      <c r="D358" t="s">
        <v>8</v>
      </c>
      <c r="E358">
        <v>5</v>
      </c>
      <c r="F358" s="8">
        <v>0</v>
      </c>
      <c r="G358">
        <f t="shared" si="5"/>
        <v>6.7</v>
      </c>
      <c r="H358" s="8">
        <v>0</v>
      </c>
      <c r="I358">
        <v>6.7</v>
      </c>
    </row>
    <row r="359" spans="1:9" x14ac:dyDescent="0.3">
      <c r="A359" t="s">
        <v>376</v>
      </c>
      <c r="B359" t="s">
        <v>14</v>
      </c>
      <c r="C359" t="s">
        <v>8</v>
      </c>
      <c r="D359" t="s">
        <v>9</v>
      </c>
      <c r="E359">
        <v>5</v>
      </c>
      <c r="F359" s="8">
        <v>0</v>
      </c>
      <c r="G359">
        <f t="shared" si="5"/>
        <v>6.4</v>
      </c>
      <c r="H359" s="8">
        <v>0</v>
      </c>
      <c r="I359">
        <v>6.4</v>
      </c>
    </row>
    <row r="360" spans="1:9" x14ac:dyDescent="0.3">
      <c r="A360" t="s">
        <v>206</v>
      </c>
      <c r="B360" t="s">
        <v>14</v>
      </c>
      <c r="C360" t="s">
        <v>8</v>
      </c>
      <c r="D360" t="s">
        <v>34</v>
      </c>
      <c r="E360">
        <v>11</v>
      </c>
      <c r="F360" s="8">
        <v>0</v>
      </c>
      <c r="G360" t="str">
        <f t="shared" si="5"/>
        <v/>
      </c>
      <c r="H360" s="8">
        <v>0</v>
      </c>
    </row>
    <row r="361" spans="1:9" x14ac:dyDescent="0.3">
      <c r="A361" t="s">
        <v>81</v>
      </c>
      <c r="B361" t="s">
        <v>14</v>
      </c>
      <c r="C361" t="s">
        <v>8</v>
      </c>
      <c r="D361" t="s">
        <v>34</v>
      </c>
      <c r="E361">
        <v>29</v>
      </c>
      <c r="F361" s="8">
        <v>0</v>
      </c>
      <c r="G361">
        <f t="shared" si="5"/>
        <v>6.6</v>
      </c>
      <c r="H361" s="8">
        <v>0</v>
      </c>
      <c r="I361">
        <v>6.6</v>
      </c>
    </row>
    <row r="362" spans="1:9" x14ac:dyDescent="0.3">
      <c r="A362" t="s">
        <v>546</v>
      </c>
      <c r="B362" t="s">
        <v>115</v>
      </c>
      <c r="C362" t="s">
        <v>71</v>
      </c>
      <c r="D362" t="s">
        <v>72</v>
      </c>
      <c r="E362">
        <v>1</v>
      </c>
      <c r="F362" s="8">
        <v>9</v>
      </c>
      <c r="G362">
        <f t="shared" si="5"/>
        <v>6.5</v>
      </c>
      <c r="H362" s="8">
        <v>0</v>
      </c>
      <c r="I362">
        <v>6.5</v>
      </c>
    </row>
    <row r="363" spans="1:9" x14ac:dyDescent="0.3">
      <c r="A363" t="s">
        <v>464</v>
      </c>
      <c r="B363" t="s">
        <v>115</v>
      </c>
      <c r="C363" t="s">
        <v>71</v>
      </c>
      <c r="D363" t="s">
        <v>72</v>
      </c>
      <c r="E363">
        <v>3</v>
      </c>
      <c r="F363" s="8">
        <v>9</v>
      </c>
      <c r="G363" t="str">
        <f t="shared" si="5"/>
        <v/>
      </c>
      <c r="H363" s="8">
        <v>0</v>
      </c>
    </row>
    <row r="364" spans="1:9" x14ac:dyDescent="0.3">
      <c r="A364" t="s">
        <v>391</v>
      </c>
      <c r="B364" t="s">
        <v>115</v>
      </c>
      <c r="C364" t="s">
        <v>16</v>
      </c>
      <c r="D364" t="s">
        <v>174</v>
      </c>
      <c r="E364">
        <v>5</v>
      </c>
      <c r="F364" s="8">
        <v>0</v>
      </c>
      <c r="G364" t="str">
        <f t="shared" si="5"/>
        <v/>
      </c>
      <c r="H364" s="8">
        <v>0</v>
      </c>
    </row>
    <row r="365" spans="1:9" x14ac:dyDescent="0.3">
      <c r="A365" t="s">
        <v>494</v>
      </c>
      <c r="B365" t="s">
        <v>115</v>
      </c>
      <c r="C365" t="s">
        <v>16</v>
      </c>
      <c r="D365" t="s">
        <v>188</v>
      </c>
      <c r="E365">
        <v>2</v>
      </c>
      <c r="F365" s="8">
        <v>0</v>
      </c>
      <c r="G365" t="str">
        <f t="shared" si="5"/>
        <v/>
      </c>
      <c r="H365" s="8">
        <v>0</v>
      </c>
    </row>
    <row r="366" spans="1:9" x14ac:dyDescent="0.3">
      <c r="A366" t="s">
        <v>214</v>
      </c>
      <c r="B366" t="s">
        <v>115</v>
      </c>
      <c r="C366" t="s">
        <v>16</v>
      </c>
      <c r="D366" t="s">
        <v>215</v>
      </c>
      <c r="E366">
        <v>11</v>
      </c>
      <c r="F366" s="8">
        <v>0</v>
      </c>
      <c r="G366">
        <f t="shared" si="5"/>
        <v>6.3</v>
      </c>
      <c r="H366" s="8">
        <v>0</v>
      </c>
      <c r="I366">
        <v>6.3</v>
      </c>
    </row>
    <row r="367" spans="1:9" x14ac:dyDescent="0.3">
      <c r="A367" t="s">
        <v>489</v>
      </c>
      <c r="B367" t="s">
        <v>115</v>
      </c>
      <c r="C367" t="s">
        <v>16</v>
      </c>
      <c r="D367" t="s">
        <v>88</v>
      </c>
      <c r="E367">
        <v>2</v>
      </c>
      <c r="F367" s="8">
        <v>0</v>
      </c>
      <c r="G367">
        <f t="shared" si="5"/>
        <v>5.6</v>
      </c>
      <c r="H367" s="8">
        <v>0</v>
      </c>
      <c r="I367">
        <v>5.6</v>
      </c>
    </row>
    <row r="368" spans="1:9" x14ac:dyDescent="0.3">
      <c r="A368" t="s">
        <v>425</v>
      </c>
      <c r="B368" t="s">
        <v>115</v>
      </c>
      <c r="C368" t="s">
        <v>16</v>
      </c>
      <c r="D368" t="s">
        <v>88</v>
      </c>
      <c r="E368">
        <v>4</v>
      </c>
      <c r="F368" s="8">
        <v>0</v>
      </c>
      <c r="G368">
        <f t="shared" si="5"/>
        <v>6.7</v>
      </c>
      <c r="H368" s="8">
        <v>0</v>
      </c>
      <c r="I368">
        <v>6.7</v>
      </c>
    </row>
    <row r="369" spans="1:9" x14ac:dyDescent="0.3">
      <c r="A369" t="s">
        <v>402</v>
      </c>
      <c r="B369" t="s">
        <v>115</v>
      </c>
      <c r="C369" t="s">
        <v>16</v>
      </c>
      <c r="D369" t="s">
        <v>88</v>
      </c>
      <c r="E369">
        <v>5</v>
      </c>
      <c r="F369" s="8">
        <v>0</v>
      </c>
      <c r="G369" t="str">
        <f t="shared" si="5"/>
        <v/>
      </c>
      <c r="H369" s="8">
        <v>0</v>
      </c>
    </row>
    <row r="370" spans="1:9" x14ac:dyDescent="0.3">
      <c r="A370" t="s">
        <v>201</v>
      </c>
      <c r="B370" t="s">
        <v>115</v>
      </c>
      <c r="C370" t="s">
        <v>16</v>
      </c>
      <c r="D370" t="s">
        <v>188</v>
      </c>
      <c r="E370">
        <v>12</v>
      </c>
      <c r="F370" s="8">
        <v>0</v>
      </c>
      <c r="G370">
        <f t="shared" si="5"/>
        <v>6.8</v>
      </c>
      <c r="H370" s="8">
        <v>0</v>
      </c>
      <c r="I370">
        <v>6.8</v>
      </c>
    </row>
    <row r="371" spans="1:9" x14ac:dyDescent="0.3">
      <c r="A371" t="s">
        <v>296</v>
      </c>
      <c r="B371" t="s">
        <v>115</v>
      </c>
      <c r="C371" t="s">
        <v>20</v>
      </c>
      <c r="D371" t="s">
        <v>34</v>
      </c>
      <c r="E371">
        <v>7</v>
      </c>
      <c r="F371" s="8">
        <v>0</v>
      </c>
      <c r="G371">
        <f t="shared" si="5"/>
        <v>6.3</v>
      </c>
      <c r="H371" s="8">
        <v>0</v>
      </c>
      <c r="I371">
        <v>6.3</v>
      </c>
    </row>
    <row r="372" spans="1:9" x14ac:dyDescent="0.3">
      <c r="A372" t="s">
        <v>140</v>
      </c>
      <c r="B372" t="s">
        <v>115</v>
      </c>
      <c r="C372" t="s">
        <v>20</v>
      </c>
      <c r="D372" t="s">
        <v>20</v>
      </c>
      <c r="E372">
        <v>18</v>
      </c>
      <c r="F372" s="8">
        <v>0</v>
      </c>
      <c r="G372">
        <f t="shared" si="5"/>
        <v>6.6</v>
      </c>
      <c r="H372" s="8">
        <v>0</v>
      </c>
      <c r="I372">
        <v>6.6</v>
      </c>
    </row>
    <row r="373" spans="1:9" x14ac:dyDescent="0.3">
      <c r="A373" t="s">
        <v>473</v>
      </c>
      <c r="B373" t="s">
        <v>115</v>
      </c>
      <c r="C373" t="s">
        <v>20</v>
      </c>
      <c r="D373" t="s">
        <v>135</v>
      </c>
      <c r="E373">
        <v>2</v>
      </c>
      <c r="F373" s="8">
        <v>0</v>
      </c>
      <c r="G373" t="str">
        <f t="shared" si="5"/>
        <v/>
      </c>
      <c r="H373" s="8">
        <v>0</v>
      </c>
    </row>
    <row r="374" spans="1:9" x14ac:dyDescent="0.3">
      <c r="A374" t="s">
        <v>322</v>
      </c>
      <c r="B374" t="s">
        <v>115</v>
      </c>
      <c r="C374" t="s">
        <v>20</v>
      </c>
      <c r="D374" t="s">
        <v>34</v>
      </c>
      <c r="E374">
        <v>6</v>
      </c>
      <c r="F374" s="8">
        <v>0</v>
      </c>
      <c r="G374">
        <f t="shared" si="5"/>
        <v>6.2</v>
      </c>
      <c r="H374" s="8">
        <v>0</v>
      </c>
      <c r="I374">
        <v>6.2</v>
      </c>
    </row>
    <row r="375" spans="1:9" x14ac:dyDescent="0.3">
      <c r="A375" t="s">
        <v>266</v>
      </c>
      <c r="B375" t="s">
        <v>115</v>
      </c>
      <c r="C375" t="s">
        <v>20</v>
      </c>
      <c r="D375" t="s">
        <v>27</v>
      </c>
      <c r="E375">
        <v>8</v>
      </c>
      <c r="F375" s="8">
        <v>0</v>
      </c>
      <c r="G375">
        <f t="shared" si="5"/>
        <v>6.6</v>
      </c>
      <c r="H375" s="8">
        <v>0</v>
      </c>
      <c r="I375">
        <v>6.6</v>
      </c>
    </row>
    <row r="376" spans="1:9" x14ac:dyDescent="0.3">
      <c r="A376" t="s">
        <v>248</v>
      </c>
      <c r="B376" t="s">
        <v>115</v>
      </c>
      <c r="C376" t="s">
        <v>20</v>
      </c>
      <c r="D376" t="s">
        <v>27</v>
      </c>
      <c r="E376">
        <v>9</v>
      </c>
      <c r="F376" s="8">
        <v>0</v>
      </c>
      <c r="G376" t="str">
        <f t="shared" si="5"/>
        <v/>
      </c>
      <c r="H376" s="8">
        <v>0</v>
      </c>
    </row>
    <row r="377" spans="1:9" x14ac:dyDescent="0.3">
      <c r="A377" t="s">
        <v>443</v>
      </c>
      <c r="B377" t="s">
        <v>115</v>
      </c>
      <c r="C377" t="s">
        <v>20</v>
      </c>
      <c r="D377" t="s">
        <v>27</v>
      </c>
      <c r="E377">
        <v>3</v>
      </c>
      <c r="F377" s="8">
        <v>0</v>
      </c>
      <c r="G377">
        <f t="shared" si="5"/>
        <v>7.2</v>
      </c>
      <c r="H377" s="8">
        <v>0</v>
      </c>
      <c r="I377">
        <v>7.2</v>
      </c>
    </row>
    <row r="378" spans="1:9" x14ac:dyDescent="0.3">
      <c r="A378" t="s">
        <v>329</v>
      </c>
      <c r="B378" t="s">
        <v>115</v>
      </c>
      <c r="C378" t="s">
        <v>20</v>
      </c>
      <c r="D378" t="s">
        <v>20</v>
      </c>
      <c r="E378">
        <v>6</v>
      </c>
      <c r="F378" s="8">
        <v>0</v>
      </c>
      <c r="G378" t="str">
        <f t="shared" si="5"/>
        <v/>
      </c>
      <c r="H378" s="8">
        <v>0</v>
      </c>
    </row>
    <row r="379" spans="1:9" x14ac:dyDescent="0.3">
      <c r="A379" t="s">
        <v>503</v>
      </c>
      <c r="B379" t="s">
        <v>115</v>
      </c>
      <c r="C379" t="s">
        <v>8</v>
      </c>
      <c r="D379" t="s">
        <v>9</v>
      </c>
      <c r="E379">
        <v>1</v>
      </c>
      <c r="F379" s="8">
        <v>0</v>
      </c>
      <c r="G379" t="str">
        <f t="shared" si="5"/>
        <v/>
      </c>
      <c r="H379" s="8">
        <v>0</v>
      </c>
    </row>
    <row r="380" spans="1:9" x14ac:dyDescent="0.3">
      <c r="A380" t="s">
        <v>321</v>
      </c>
      <c r="B380" t="s">
        <v>115</v>
      </c>
      <c r="C380" t="s">
        <v>8</v>
      </c>
      <c r="D380" t="s">
        <v>9</v>
      </c>
      <c r="E380">
        <v>6</v>
      </c>
      <c r="F380" s="8">
        <v>0</v>
      </c>
      <c r="G380" t="str">
        <f t="shared" si="5"/>
        <v/>
      </c>
      <c r="H380" s="8">
        <v>0</v>
      </c>
      <c r="I380" s="1" t="s">
        <v>754</v>
      </c>
    </row>
    <row r="381" spans="1:9" x14ac:dyDescent="0.3">
      <c r="A381" t="s">
        <v>284</v>
      </c>
      <c r="B381" t="s">
        <v>115</v>
      </c>
      <c r="C381" t="s">
        <v>8</v>
      </c>
      <c r="D381" t="s">
        <v>8</v>
      </c>
      <c r="E381">
        <v>7</v>
      </c>
      <c r="F381" s="8">
        <v>0</v>
      </c>
      <c r="G381" t="str">
        <f t="shared" si="5"/>
        <v/>
      </c>
      <c r="H381" s="8">
        <v>0</v>
      </c>
    </row>
    <row r="382" spans="1:9" x14ac:dyDescent="0.3">
      <c r="A382" t="s">
        <v>467</v>
      </c>
      <c r="B382" t="s">
        <v>115</v>
      </c>
      <c r="C382" t="s">
        <v>8</v>
      </c>
      <c r="D382" t="s">
        <v>8</v>
      </c>
      <c r="E382">
        <v>2</v>
      </c>
      <c r="F382" s="8">
        <v>0</v>
      </c>
      <c r="G382">
        <f t="shared" si="5"/>
        <v>6.4</v>
      </c>
      <c r="H382" s="8">
        <v>0</v>
      </c>
      <c r="I382">
        <v>6.4</v>
      </c>
    </row>
    <row r="383" spans="1:9" x14ac:dyDescent="0.3">
      <c r="A383" t="s">
        <v>132</v>
      </c>
      <c r="B383" t="s">
        <v>115</v>
      </c>
      <c r="C383" t="s">
        <v>8</v>
      </c>
      <c r="D383" t="s">
        <v>9</v>
      </c>
      <c r="E383">
        <v>19</v>
      </c>
      <c r="F383" s="8">
        <v>0</v>
      </c>
      <c r="G383" t="str">
        <f t="shared" si="5"/>
        <v/>
      </c>
      <c r="H383" s="8">
        <v>0</v>
      </c>
    </row>
    <row r="384" spans="1:9" x14ac:dyDescent="0.3">
      <c r="A384" t="s">
        <v>114</v>
      </c>
      <c r="B384" t="s">
        <v>115</v>
      </c>
      <c r="C384" t="s">
        <v>8</v>
      </c>
      <c r="D384" t="s">
        <v>9</v>
      </c>
      <c r="E384">
        <v>22</v>
      </c>
      <c r="F384" s="8">
        <v>0</v>
      </c>
      <c r="G384">
        <f t="shared" si="5"/>
        <v>5.6</v>
      </c>
      <c r="H384" s="8">
        <v>0</v>
      </c>
      <c r="I384">
        <v>5.6</v>
      </c>
    </row>
    <row r="385" spans="1:9" x14ac:dyDescent="0.3">
      <c r="A385" s="1" t="s">
        <v>756</v>
      </c>
      <c r="B385" t="s">
        <v>115</v>
      </c>
      <c r="I385">
        <v>5.9</v>
      </c>
    </row>
    <row r="386" spans="1:9" x14ac:dyDescent="0.3">
      <c r="A386" s="1" t="s">
        <v>757</v>
      </c>
      <c r="B386" t="s">
        <v>115</v>
      </c>
      <c r="I386">
        <v>6.4</v>
      </c>
    </row>
    <row r="387" spans="1:9" x14ac:dyDescent="0.3">
      <c r="A387" t="s">
        <v>542</v>
      </c>
      <c r="B387" t="s">
        <v>11</v>
      </c>
      <c r="C387" t="s">
        <v>71</v>
      </c>
      <c r="D387" t="s">
        <v>72</v>
      </c>
      <c r="E387">
        <v>1</v>
      </c>
      <c r="F387" s="8">
        <v>9</v>
      </c>
      <c r="G387" t="str">
        <f t="shared" si="5"/>
        <v/>
      </c>
      <c r="H387" s="8">
        <v>0</v>
      </c>
    </row>
    <row r="388" spans="1:9" x14ac:dyDescent="0.3">
      <c r="A388" t="s">
        <v>561</v>
      </c>
      <c r="B388" t="s">
        <v>11</v>
      </c>
      <c r="C388" t="s">
        <v>71</v>
      </c>
      <c r="D388" t="s">
        <v>72</v>
      </c>
      <c r="E388">
        <v>1</v>
      </c>
      <c r="F388" s="8">
        <v>0</v>
      </c>
      <c r="G388" t="str">
        <f t="shared" si="5"/>
        <v/>
      </c>
      <c r="H388" s="8">
        <v>0</v>
      </c>
    </row>
    <row r="389" spans="1:9" x14ac:dyDescent="0.3">
      <c r="A389" t="s">
        <v>70</v>
      </c>
      <c r="B389" t="s">
        <v>11</v>
      </c>
      <c r="C389" t="s">
        <v>71</v>
      </c>
      <c r="D389" t="s">
        <v>72</v>
      </c>
      <c r="E389">
        <v>33</v>
      </c>
      <c r="F389" s="8">
        <v>0</v>
      </c>
      <c r="G389" t="str">
        <f t="shared" si="5"/>
        <v/>
      </c>
      <c r="H389" s="8">
        <v>0</v>
      </c>
    </row>
    <row r="390" spans="1:9" x14ac:dyDescent="0.3">
      <c r="A390" t="s">
        <v>396</v>
      </c>
      <c r="B390" t="s">
        <v>11</v>
      </c>
      <c r="C390" t="s">
        <v>16</v>
      </c>
      <c r="D390" t="s">
        <v>88</v>
      </c>
      <c r="E390">
        <v>5</v>
      </c>
      <c r="F390" s="8">
        <v>0</v>
      </c>
      <c r="G390" t="str">
        <f t="shared" ref="G390:G453" si="6">IFERROR(AVERAGE(I390:AT390),"")</f>
        <v/>
      </c>
      <c r="H390" s="8">
        <v>0</v>
      </c>
    </row>
    <row r="391" spans="1:9" x14ac:dyDescent="0.3">
      <c r="A391" t="s">
        <v>190</v>
      </c>
      <c r="B391" t="s">
        <v>11</v>
      </c>
      <c r="C391" t="s">
        <v>16</v>
      </c>
      <c r="D391" t="s">
        <v>88</v>
      </c>
      <c r="E391">
        <v>13</v>
      </c>
      <c r="F391" s="8">
        <v>0</v>
      </c>
      <c r="G391" t="str">
        <f t="shared" si="6"/>
        <v/>
      </c>
      <c r="H391" s="8">
        <v>0</v>
      </c>
    </row>
    <row r="392" spans="1:9" x14ac:dyDescent="0.3">
      <c r="A392" t="s">
        <v>230</v>
      </c>
      <c r="B392" t="s">
        <v>11</v>
      </c>
      <c r="C392" t="s">
        <v>16</v>
      </c>
      <c r="D392" t="s">
        <v>88</v>
      </c>
      <c r="E392">
        <v>10</v>
      </c>
      <c r="F392" s="8">
        <v>0</v>
      </c>
      <c r="G392" t="str">
        <f t="shared" si="6"/>
        <v/>
      </c>
      <c r="H392" s="8">
        <v>0</v>
      </c>
    </row>
    <row r="393" spans="1:9" x14ac:dyDescent="0.3">
      <c r="A393" t="s">
        <v>101</v>
      </c>
      <c r="B393" t="s">
        <v>11</v>
      </c>
      <c r="C393" t="s">
        <v>16</v>
      </c>
      <c r="D393" t="s">
        <v>88</v>
      </c>
      <c r="E393">
        <v>25</v>
      </c>
      <c r="F393" s="8">
        <v>0</v>
      </c>
      <c r="G393" t="str">
        <f t="shared" si="6"/>
        <v/>
      </c>
      <c r="H393" s="8">
        <v>0</v>
      </c>
    </row>
    <row r="394" spans="1:9" x14ac:dyDescent="0.3">
      <c r="A394" t="s">
        <v>59</v>
      </c>
      <c r="B394" t="s">
        <v>11</v>
      </c>
      <c r="C394" t="s">
        <v>16</v>
      </c>
      <c r="D394" t="s">
        <v>60</v>
      </c>
      <c r="E394">
        <v>44</v>
      </c>
      <c r="F394" s="8">
        <v>0</v>
      </c>
      <c r="G394" t="str">
        <f t="shared" si="6"/>
        <v/>
      </c>
      <c r="H394" s="8">
        <v>0</v>
      </c>
    </row>
    <row r="395" spans="1:9" x14ac:dyDescent="0.3">
      <c r="A395" t="s">
        <v>117</v>
      </c>
      <c r="B395" t="s">
        <v>11</v>
      </c>
      <c r="C395" t="s">
        <v>16</v>
      </c>
      <c r="D395" t="s">
        <v>88</v>
      </c>
      <c r="E395">
        <v>22</v>
      </c>
      <c r="F395" s="8">
        <v>0</v>
      </c>
      <c r="G395" t="str">
        <f t="shared" si="6"/>
        <v/>
      </c>
      <c r="H395" s="8">
        <v>0</v>
      </c>
    </row>
    <row r="396" spans="1:9" x14ac:dyDescent="0.3">
      <c r="A396" t="s">
        <v>276</v>
      </c>
      <c r="B396" t="s">
        <v>11</v>
      </c>
      <c r="C396" t="s">
        <v>16</v>
      </c>
      <c r="D396" t="s">
        <v>215</v>
      </c>
      <c r="E396">
        <v>8</v>
      </c>
      <c r="F396" s="8">
        <v>0</v>
      </c>
      <c r="G396" t="str">
        <f t="shared" si="6"/>
        <v/>
      </c>
      <c r="H396" s="8">
        <v>0</v>
      </c>
    </row>
    <row r="397" spans="1:9" x14ac:dyDescent="0.3">
      <c r="A397" t="s">
        <v>61</v>
      </c>
      <c r="B397" t="s">
        <v>11</v>
      </c>
      <c r="C397" t="s">
        <v>16</v>
      </c>
      <c r="D397" t="s">
        <v>60</v>
      </c>
      <c r="E397">
        <v>42</v>
      </c>
      <c r="F397" s="8">
        <v>0</v>
      </c>
      <c r="G397" t="str">
        <f t="shared" si="6"/>
        <v/>
      </c>
      <c r="H397" s="8">
        <v>0</v>
      </c>
    </row>
    <row r="398" spans="1:9" x14ac:dyDescent="0.3">
      <c r="A398" t="s">
        <v>521</v>
      </c>
      <c r="B398" t="s">
        <v>11</v>
      </c>
      <c r="C398" t="s">
        <v>16</v>
      </c>
      <c r="D398" t="s">
        <v>88</v>
      </c>
      <c r="E398">
        <v>1</v>
      </c>
      <c r="F398" s="8">
        <v>0</v>
      </c>
      <c r="G398" t="str">
        <f t="shared" si="6"/>
        <v/>
      </c>
      <c r="H398" s="8">
        <v>0</v>
      </c>
    </row>
    <row r="399" spans="1:9" x14ac:dyDescent="0.3">
      <c r="A399" t="s">
        <v>160</v>
      </c>
      <c r="B399" t="s">
        <v>11</v>
      </c>
      <c r="C399" t="s">
        <v>20</v>
      </c>
      <c r="D399" t="s">
        <v>27</v>
      </c>
      <c r="E399">
        <v>15</v>
      </c>
      <c r="F399" s="8">
        <v>0</v>
      </c>
      <c r="G399" t="str">
        <f t="shared" si="6"/>
        <v/>
      </c>
      <c r="H399" s="8">
        <v>0</v>
      </c>
    </row>
    <row r="400" spans="1:9" x14ac:dyDescent="0.3">
      <c r="A400" t="s">
        <v>243</v>
      </c>
      <c r="B400" t="s">
        <v>11</v>
      </c>
      <c r="C400" t="s">
        <v>20</v>
      </c>
      <c r="D400" t="s">
        <v>27</v>
      </c>
      <c r="E400">
        <v>9</v>
      </c>
      <c r="F400" s="8">
        <v>0</v>
      </c>
      <c r="G400" t="str">
        <f t="shared" si="6"/>
        <v/>
      </c>
      <c r="H400" s="8">
        <v>0</v>
      </c>
    </row>
    <row r="401" spans="1:8" x14ac:dyDescent="0.3">
      <c r="A401" t="s">
        <v>121</v>
      </c>
      <c r="B401" t="s">
        <v>11</v>
      </c>
      <c r="C401" t="s">
        <v>20</v>
      </c>
      <c r="D401" t="s">
        <v>27</v>
      </c>
      <c r="E401">
        <v>21</v>
      </c>
      <c r="F401" s="8">
        <v>0</v>
      </c>
      <c r="G401" t="str">
        <f t="shared" si="6"/>
        <v/>
      </c>
      <c r="H401" s="8">
        <v>0</v>
      </c>
    </row>
    <row r="402" spans="1:8" x14ac:dyDescent="0.3">
      <c r="A402" t="s">
        <v>47</v>
      </c>
      <c r="B402" t="s">
        <v>11</v>
      </c>
      <c r="C402" t="s">
        <v>20</v>
      </c>
      <c r="D402" t="s">
        <v>48</v>
      </c>
      <c r="E402">
        <v>51</v>
      </c>
      <c r="F402" s="8">
        <v>0</v>
      </c>
      <c r="G402" t="str">
        <f t="shared" si="6"/>
        <v/>
      </c>
      <c r="H402" s="8">
        <v>0</v>
      </c>
    </row>
    <row r="403" spans="1:8" x14ac:dyDescent="0.3">
      <c r="A403" t="s">
        <v>168</v>
      </c>
      <c r="B403" t="s">
        <v>11</v>
      </c>
      <c r="C403" t="s">
        <v>20</v>
      </c>
      <c r="D403" t="s">
        <v>23</v>
      </c>
      <c r="E403">
        <v>14</v>
      </c>
      <c r="F403" s="8">
        <v>0</v>
      </c>
      <c r="G403" t="str">
        <f t="shared" si="6"/>
        <v/>
      </c>
      <c r="H403" s="8">
        <v>0</v>
      </c>
    </row>
    <row r="404" spans="1:8" x14ac:dyDescent="0.3">
      <c r="A404" t="s">
        <v>244</v>
      </c>
      <c r="B404" t="s">
        <v>11</v>
      </c>
      <c r="C404" t="s">
        <v>20</v>
      </c>
      <c r="D404" t="s">
        <v>20</v>
      </c>
      <c r="E404">
        <v>9</v>
      </c>
      <c r="F404" s="8">
        <v>0</v>
      </c>
      <c r="G404" t="str">
        <f t="shared" si="6"/>
        <v/>
      </c>
      <c r="H404" s="8">
        <v>0</v>
      </c>
    </row>
    <row r="405" spans="1:8" x14ac:dyDescent="0.3">
      <c r="A405" t="s">
        <v>62</v>
      </c>
      <c r="B405" t="s">
        <v>11</v>
      </c>
      <c r="C405" t="s">
        <v>8</v>
      </c>
      <c r="D405" t="s">
        <v>9</v>
      </c>
      <c r="E405">
        <v>41</v>
      </c>
      <c r="F405" s="8">
        <v>0</v>
      </c>
      <c r="G405" t="str">
        <f t="shared" si="6"/>
        <v/>
      </c>
      <c r="H405" s="8">
        <v>0</v>
      </c>
    </row>
    <row r="406" spans="1:8" x14ac:dyDescent="0.3">
      <c r="A406" t="s">
        <v>68</v>
      </c>
      <c r="B406" t="s">
        <v>11</v>
      </c>
      <c r="C406" t="s">
        <v>8</v>
      </c>
      <c r="D406" t="s">
        <v>8</v>
      </c>
      <c r="E406">
        <v>34</v>
      </c>
      <c r="F406" s="8">
        <v>0</v>
      </c>
      <c r="G406" t="str">
        <f t="shared" si="6"/>
        <v/>
      </c>
      <c r="H406" s="8">
        <v>0</v>
      </c>
    </row>
    <row r="407" spans="1:8" x14ac:dyDescent="0.3">
      <c r="A407" t="s">
        <v>10</v>
      </c>
      <c r="B407" t="s">
        <v>11</v>
      </c>
      <c r="C407" t="s">
        <v>8</v>
      </c>
      <c r="D407" t="s">
        <v>9</v>
      </c>
      <c r="E407">
        <v>183</v>
      </c>
      <c r="F407" s="8">
        <v>0</v>
      </c>
      <c r="G407" t="str">
        <f t="shared" si="6"/>
        <v/>
      </c>
      <c r="H407" s="8">
        <v>0</v>
      </c>
    </row>
    <row r="408" spans="1:8" x14ac:dyDescent="0.3">
      <c r="A408" t="s">
        <v>91</v>
      </c>
      <c r="B408" t="s">
        <v>11</v>
      </c>
      <c r="C408" t="s">
        <v>8</v>
      </c>
      <c r="D408" t="s">
        <v>8</v>
      </c>
      <c r="E408">
        <v>27</v>
      </c>
      <c r="F408" s="8">
        <v>0</v>
      </c>
      <c r="G408" t="str">
        <f t="shared" si="6"/>
        <v/>
      </c>
      <c r="H408" s="8">
        <v>0</v>
      </c>
    </row>
    <row r="409" spans="1:8" x14ac:dyDescent="0.3">
      <c r="A409" t="s">
        <v>470</v>
      </c>
      <c r="B409" t="s">
        <v>11</v>
      </c>
      <c r="C409" t="s">
        <v>8</v>
      </c>
      <c r="D409" t="s">
        <v>9</v>
      </c>
      <c r="E409">
        <v>2</v>
      </c>
      <c r="F409" s="8">
        <v>0</v>
      </c>
      <c r="G409" t="str">
        <f t="shared" si="6"/>
        <v/>
      </c>
      <c r="H409" s="8">
        <v>0</v>
      </c>
    </row>
    <row r="410" spans="1:8" x14ac:dyDescent="0.3">
      <c r="A410" t="s">
        <v>283</v>
      </c>
      <c r="B410" t="s">
        <v>45</v>
      </c>
      <c r="C410" t="s">
        <v>71</v>
      </c>
      <c r="D410" t="s">
        <v>72</v>
      </c>
      <c r="E410">
        <v>8</v>
      </c>
      <c r="F410" s="8">
        <v>0</v>
      </c>
      <c r="G410" t="str">
        <f t="shared" si="6"/>
        <v/>
      </c>
      <c r="H410" s="8">
        <v>0</v>
      </c>
    </row>
    <row r="411" spans="1:8" x14ac:dyDescent="0.3">
      <c r="A411" t="s">
        <v>553</v>
      </c>
      <c r="B411" t="s">
        <v>45</v>
      </c>
      <c r="C411" t="s">
        <v>71</v>
      </c>
      <c r="D411" t="s">
        <v>72</v>
      </c>
      <c r="E411">
        <v>1</v>
      </c>
      <c r="F411" s="8">
        <v>0</v>
      </c>
      <c r="G411" t="str">
        <f t="shared" si="6"/>
        <v/>
      </c>
      <c r="H411" s="8">
        <v>0</v>
      </c>
    </row>
    <row r="412" spans="1:8" x14ac:dyDescent="0.3">
      <c r="A412" t="s">
        <v>558</v>
      </c>
      <c r="B412" t="s">
        <v>45</v>
      </c>
      <c r="C412" t="s">
        <v>71</v>
      </c>
      <c r="D412" t="s">
        <v>72</v>
      </c>
      <c r="E412">
        <v>1</v>
      </c>
      <c r="F412" s="8">
        <v>0</v>
      </c>
      <c r="G412" t="str">
        <f t="shared" si="6"/>
        <v/>
      </c>
      <c r="H412" s="8">
        <v>0</v>
      </c>
    </row>
    <row r="413" spans="1:8" x14ac:dyDescent="0.3">
      <c r="A413" t="s">
        <v>502</v>
      </c>
      <c r="B413" t="s">
        <v>45</v>
      </c>
      <c r="C413" t="s">
        <v>71</v>
      </c>
      <c r="D413" t="s">
        <v>72</v>
      </c>
      <c r="E413">
        <v>2</v>
      </c>
      <c r="F413" s="8">
        <v>0</v>
      </c>
      <c r="G413" t="str">
        <f t="shared" si="6"/>
        <v/>
      </c>
      <c r="H413" s="8">
        <v>0</v>
      </c>
    </row>
    <row r="414" spans="1:8" x14ac:dyDescent="0.3">
      <c r="A414" t="s">
        <v>350</v>
      </c>
      <c r="B414" t="s">
        <v>45</v>
      </c>
      <c r="C414" t="s">
        <v>16</v>
      </c>
      <c r="D414" t="s">
        <v>146</v>
      </c>
      <c r="E414">
        <v>6</v>
      </c>
      <c r="F414" s="8">
        <v>0</v>
      </c>
      <c r="G414" t="str">
        <f t="shared" si="6"/>
        <v/>
      </c>
      <c r="H414" s="8">
        <v>0</v>
      </c>
    </row>
    <row r="415" spans="1:8" x14ac:dyDescent="0.3">
      <c r="A415" t="s">
        <v>397</v>
      </c>
      <c r="B415" t="s">
        <v>45</v>
      </c>
      <c r="C415" t="s">
        <v>16</v>
      </c>
      <c r="D415" t="s">
        <v>188</v>
      </c>
      <c r="E415">
        <v>5</v>
      </c>
      <c r="F415" s="8">
        <v>0</v>
      </c>
      <c r="G415" t="str">
        <f t="shared" si="6"/>
        <v/>
      </c>
      <c r="H415" s="8">
        <v>0</v>
      </c>
    </row>
    <row r="416" spans="1:8" x14ac:dyDescent="0.3">
      <c r="A416" t="s">
        <v>232</v>
      </c>
      <c r="B416" t="s">
        <v>45</v>
      </c>
      <c r="C416" t="s">
        <v>16</v>
      </c>
      <c r="D416" t="s">
        <v>88</v>
      </c>
      <c r="E416">
        <v>10</v>
      </c>
      <c r="F416" s="8">
        <v>0</v>
      </c>
      <c r="G416" t="str">
        <f t="shared" si="6"/>
        <v/>
      </c>
      <c r="H416" s="8">
        <v>0</v>
      </c>
    </row>
    <row r="417" spans="1:8" x14ac:dyDescent="0.3">
      <c r="A417" t="s">
        <v>525</v>
      </c>
      <c r="B417" t="s">
        <v>45</v>
      </c>
      <c r="C417" t="s">
        <v>16</v>
      </c>
      <c r="D417" t="s">
        <v>131</v>
      </c>
      <c r="E417">
        <v>1</v>
      </c>
      <c r="F417" s="8">
        <v>0</v>
      </c>
      <c r="G417" t="str">
        <f t="shared" si="6"/>
        <v/>
      </c>
      <c r="H417" s="8">
        <v>0</v>
      </c>
    </row>
    <row r="418" spans="1:8" x14ac:dyDescent="0.3">
      <c r="A418" t="s">
        <v>274</v>
      </c>
      <c r="B418" t="s">
        <v>45</v>
      </c>
      <c r="C418" t="s">
        <v>16</v>
      </c>
      <c r="D418" t="s">
        <v>188</v>
      </c>
      <c r="E418">
        <v>8</v>
      </c>
      <c r="F418" s="8">
        <v>0</v>
      </c>
      <c r="G418" t="str">
        <f t="shared" si="6"/>
        <v/>
      </c>
      <c r="H418" s="8">
        <v>0</v>
      </c>
    </row>
    <row r="419" spans="1:8" x14ac:dyDescent="0.3">
      <c r="A419" t="s">
        <v>523</v>
      </c>
      <c r="B419" t="s">
        <v>45</v>
      </c>
      <c r="C419" t="s">
        <v>16</v>
      </c>
      <c r="D419" t="s">
        <v>88</v>
      </c>
      <c r="E419">
        <v>1</v>
      </c>
      <c r="F419" s="8">
        <v>0</v>
      </c>
      <c r="G419" t="str">
        <f t="shared" si="6"/>
        <v/>
      </c>
      <c r="H419" s="8">
        <v>0</v>
      </c>
    </row>
    <row r="420" spans="1:8" x14ac:dyDescent="0.3">
      <c r="A420" t="s">
        <v>522</v>
      </c>
      <c r="B420" t="s">
        <v>45</v>
      </c>
      <c r="C420" t="s">
        <v>16</v>
      </c>
      <c r="D420" t="s">
        <v>188</v>
      </c>
      <c r="E420">
        <v>1</v>
      </c>
      <c r="F420" s="8">
        <v>0</v>
      </c>
      <c r="G420" t="str">
        <f t="shared" si="6"/>
        <v/>
      </c>
      <c r="H420" s="8">
        <v>0</v>
      </c>
    </row>
    <row r="421" spans="1:8" x14ac:dyDescent="0.3">
      <c r="A421" t="s">
        <v>406</v>
      </c>
      <c r="B421" t="s">
        <v>45</v>
      </c>
      <c r="C421" t="s">
        <v>16</v>
      </c>
      <c r="D421" t="s">
        <v>111</v>
      </c>
      <c r="E421">
        <v>5</v>
      </c>
      <c r="F421" s="8">
        <v>0</v>
      </c>
      <c r="G421" t="str">
        <f t="shared" si="6"/>
        <v/>
      </c>
      <c r="H421" s="8">
        <v>0</v>
      </c>
    </row>
    <row r="422" spans="1:8" x14ac:dyDescent="0.3">
      <c r="A422" t="s">
        <v>267</v>
      </c>
      <c r="B422" t="s">
        <v>45</v>
      </c>
      <c r="C422" t="s">
        <v>20</v>
      </c>
      <c r="D422" t="s">
        <v>23</v>
      </c>
      <c r="E422">
        <v>8</v>
      </c>
      <c r="F422" s="8">
        <v>0</v>
      </c>
      <c r="G422" t="str">
        <f t="shared" si="6"/>
        <v/>
      </c>
      <c r="H422" s="8">
        <v>0</v>
      </c>
    </row>
    <row r="423" spans="1:8" x14ac:dyDescent="0.3">
      <c r="A423" t="s">
        <v>293</v>
      </c>
      <c r="B423" t="s">
        <v>45</v>
      </c>
      <c r="C423" t="s">
        <v>20</v>
      </c>
      <c r="D423" t="s">
        <v>23</v>
      </c>
      <c r="E423">
        <v>7</v>
      </c>
      <c r="F423" s="8">
        <v>0</v>
      </c>
      <c r="G423" t="str">
        <f t="shared" si="6"/>
        <v/>
      </c>
      <c r="H423" s="8">
        <v>0</v>
      </c>
    </row>
    <row r="424" spans="1:8" x14ac:dyDescent="0.3">
      <c r="A424" t="s">
        <v>447</v>
      </c>
      <c r="B424" t="s">
        <v>45</v>
      </c>
      <c r="C424" t="s">
        <v>20</v>
      </c>
      <c r="D424" t="s">
        <v>27</v>
      </c>
      <c r="E424">
        <v>3</v>
      </c>
      <c r="F424" s="8">
        <v>0</v>
      </c>
      <c r="G424" t="str">
        <f t="shared" si="6"/>
        <v/>
      </c>
      <c r="H424" s="8">
        <v>0</v>
      </c>
    </row>
    <row r="425" spans="1:8" x14ac:dyDescent="0.3">
      <c r="A425" t="s">
        <v>332</v>
      </c>
      <c r="B425" t="s">
        <v>45</v>
      </c>
      <c r="C425" t="s">
        <v>20</v>
      </c>
      <c r="D425" t="s">
        <v>34</v>
      </c>
      <c r="E425">
        <v>6</v>
      </c>
      <c r="F425" s="8">
        <v>0</v>
      </c>
      <c r="G425" t="str">
        <f t="shared" si="6"/>
        <v/>
      </c>
      <c r="H425" s="8">
        <v>0</v>
      </c>
    </row>
    <row r="426" spans="1:8" x14ac:dyDescent="0.3">
      <c r="A426" t="s">
        <v>516</v>
      </c>
      <c r="B426" t="s">
        <v>45</v>
      </c>
      <c r="C426" t="s">
        <v>20</v>
      </c>
      <c r="D426" t="s">
        <v>27</v>
      </c>
      <c r="E426">
        <v>1</v>
      </c>
      <c r="F426" s="8">
        <v>0</v>
      </c>
      <c r="G426" t="str">
        <f t="shared" si="6"/>
        <v/>
      </c>
      <c r="H426" s="8">
        <v>0</v>
      </c>
    </row>
    <row r="427" spans="1:8" x14ac:dyDescent="0.3">
      <c r="A427" t="s">
        <v>221</v>
      </c>
      <c r="B427" t="s">
        <v>45</v>
      </c>
      <c r="C427" t="s">
        <v>20</v>
      </c>
      <c r="D427" t="s">
        <v>20</v>
      </c>
      <c r="E427">
        <v>10</v>
      </c>
      <c r="F427" s="8">
        <v>0</v>
      </c>
      <c r="G427" t="str">
        <f t="shared" si="6"/>
        <v/>
      </c>
      <c r="H427" s="8">
        <v>0</v>
      </c>
    </row>
    <row r="428" spans="1:8" x14ac:dyDescent="0.3">
      <c r="A428" t="s">
        <v>446</v>
      </c>
      <c r="B428" t="s">
        <v>45</v>
      </c>
      <c r="C428" t="s">
        <v>20</v>
      </c>
      <c r="D428" t="s">
        <v>27</v>
      </c>
      <c r="E428">
        <v>3</v>
      </c>
      <c r="F428" s="8">
        <v>0</v>
      </c>
      <c r="G428" t="str">
        <f t="shared" si="6"/>
        <v/>
      </c>
      <c r="H428" s="8">
        <v>0</v>
      </c>
    </row>
    <row r="429" spans="1:8" x14ac:dyDescent="0.3">
      <c r="A429" t="s">
        <v>272</v>
      </c>
      <c r="B429" t="s">
        <v>45</v>
      </c>
      <c r="C429" t="s">
        <v>20</v>
      </c>
      <c r="D429" t="s">
        <v>27</v>
      </c>
      <c r="E429">
        <v>8</v>
      </c>
      <c r="F429" s="8">
        <v>0</v>
      </c>
      <c r="G429" t="str">
        <f t="shared" si="6"/>
        <v/>
      </c>
      <c r="H429" s="8">
        <v>0</v>
      </c>
    </row>
    <row r="430" spans="1:8" x14ac:dyDescent="0.3">
      <c r="A430" t="s">
        <v>120</v>
      </c>
      <c r="B430" t="s">
        <v>45</v>
      </c>
      <c r="C430" t="s">
        <v>20</v>
      </c>
      <c r="D430" t="s">
        <v>23</v>
      </c>
      <c r="E430">
        <v>21</v>
      </c>
      <c r="F430" s="8">
        <v>0</v>
      </c>
      <c r="G430" t="str">
        <f t="shared" si="6"/>
        <v/>
      </c>
      <c r="H430" s="8">
        <v>0</v>
      </c>
    </row>
    <row r="431" spans="1:8" x14ac:dyDescent="0.3">
      <c r="A431" t="s">
        <v>195</v>
      </c>
      <c r="B431" t="s">
        <v>45</v>
      </c>
      <c r="C431" t="s">
        <v>20</v>
      </c>
      <c r="D431" t="s">
        <v>83</v>
      </c>
      <c r="E431">
        <v>12</v>
      </c>
      <c r="F431" s="8">
        <v>0</v>
      </c>
      <c r="G431" t="str">
        <f t="shared" si="6"/>
        <v/>
      </c>
      <c r="H431" s="8">
        <v>0</v>
      </c>
    </row>
    <row r="432" spans="1:8" x14ac:dyDescent="0.3">
      <c r="A432" t="s">
        <v>44</v>
      </c>
      <c r="B432" t="s">
        <v>45</v>
      </c>
      <c r="C432" t="s">
        <v>8</v>
      </c>
      <c r="D432" t="s">
        <v>8</v>
      </c>
      <c r="E432">
        <v>58</v>
      </c>
      <c r="F432" s="8">
        <v>0</v>
      </c>
      <c r="G432" t="str">
        <f t="shared" si="6"/>
        <v/>
      </c>
      <c r="H432" s="8">
        <v>0</v>
      </c>
    </row>
    <row r="433" spans="1:8" x14ac:dyDescent="0.3">
      <c r="A433" t="s">
        <v>126</v>
      </c>
      <c r="B433" t="s">
        <v>45</v>
      </c>
      <c r="C433" t="s">
        <v>8</v>
      </c>
      <c r="D433" t="s">
        <v>9</v>
      </c>
      <c r="E433">
        <v>20</v>
      </c>
      <c r="F433" s="8">
        <v>0</v>
      </c>
      <c r="G433" t="str">
        <f t="shared" si="6"/>
        <v/>
      </c>
      <c r="H433" s="8">
        <v>0</v>
      </c>
    </row>
    <row r="434" spans="1:8" x14ac:dyDescent="0.3">
      <c r="A434" t="s">
        <v>57</v>
      </c>
      <c r="B434" t="s">
        <v>45</v>
      </c>
      <c r="C434" t="s">
        <v>8</v>
      </c>
      <c r="D434" t="s">
        <v>8</v>
      </c>
      <c r="E434">
        <v>44</v>
      </c>
      <c r="F434" s="8">
        <v>0</v>
      </c>
      <c r="G434" t="str">
        <f t="shared" si="6"/>
        <v/>
      </c>
      <c r="H434" s="8">
        <v>0</v>
      </c>
    </row>
    <row r="435" spans="1:8" x14ac:dyDescent="0.3">
      <c r="A435" t="s">
        <v>84</v>
      </c>
      <c r="B435" t="s">
        <v>45</v>
      </c>
      <c r="C435" t="s">
        <v>8</v>
      </c>
      <c r="D435" t="s">
        <v>9</v>
      </c>
      <c r="E435">
        <v>28</v>
      </c>
      <c r="F435" s="8">
        <v>0</v>
      </c>
      <c r="G435" t="str">
        <f t="shared" si="6"/>
        <v/>
      </c>
      <c r="H435" s="8">
        <v>0</v>
      </c>
    </row>
    <row r="436" spans="1:8" x14ac:dyDescent="0.3">
      <c r="A436" t="s">
        <v>537</v>
      </c>
      <c r="B436" t="s">
        <v>64</v>
      </c>
      <c r="C436" t="s">
        <v>71</v>
      </c>
      <c r="D436" t="s">
        <v>72</v>
      </c>
      <c r="E436">
        <v>1</v>
      </c>
      <c r="F436" s="8">
        <v>0</v>
      </c>
      <c r="G436" t="str">
        <f t="shared" si="6"/>
        <v/>
      </c>
      <c r="H436" s="8">
        <v>0</v>
      </c>
    </row>
    <row r="437" spans="1:8" x14ac:dyDescent="0.3">
      <c r="A437" t="s">
        <v>551</v>
      </c>
      <c r="B437" t="s">
        <v>64</v>
      </c>
      <c r="C437" t="s">
        <v>71</v>
      </c>
      <c r="D437" t="s">
        <v>72</v>
      </c>
      <c r="E437">
        <v>1</v>
      </c>
      <c r="F437" s="8">
        <v>0</v>
      </c>
      <c r="G437" t="str">
        <f t="shared" si="6"/>
        <v/>
      </c>
      <c r="H437" s="8">
        <v>0</v>
      </c>
    </row>
    <row r="438" spans="1:8" x14ac:dyDescent="0.3">
      <c r="A438" t="s">
        <v>538</v>
      </c>
      <c r="B438" t="s">
        <v>64</v>
      </c>
      <c r="C438" t="s">
        <v>71</v>
      </c>
      <c r="D438" t="s">
        <v>72</v>
      </c>
      <c r="E438">
        <v>1</v>
      </c>
      <c r="F438" s="8">
        <v>0</v>
      </c>
      <c r="G438" t="str">
        <f t="shared" si="6"/>
        <v/>
      </c>
      <c r="H438" s="8">
        <v>0</v>
      </c>
    </row>
    <row r="439" spans="1:8" x14ac:dyDescent="0.3">
      <c r="A439" t="s">
        <v>463</v>
      </c>
      <c r="B439" t="s">
        <v>64</v>
      </c>
      <c r="C439" t="s">
        <v>16</v>
      </c>
      <c r="D439" t="s">
        <v>171</v>
      </c>
      <c r="E439">
        <v>3</v>
      </c>
      <c r="F439" s="8">
        <v>0</v>
      </c>
      <c r="G439" t="str">
        <f t="shared" si="6"/>
        <v/>
      </c>
      <c r="H439" s="8">
        <v>0</v>
      </c>
    </row>
    <row r="440" spans="1:8" x14ac:dyDescent="0.3">
      <c r="A440" t="s">
        <v>254</v>
      </c>
      <c r="B440" t="s">
        <v>64</v>
      </c>
      <c r="C440" t="s">
        <v>16</v>
      </c>
      <c r="D440" t="s">
        <v>88</v>
      </c>
      <c r="E440">
        <v>9</v>
      </c>
      <c r="F440" s="8">
        <v>0</v>
      </c>
      <c r="G440" t="str">
        <f t="shared" si="6"/>
        <v/>
      </c>
      <c r="H440" s="8">
        <v>0</v>
      </c>
    </row>
    <row r="441" spans="1:8" x14ac:dyDescent="0.3">
      <c r="A441" t="s">
        <v>388</v>
      </c>
      <c r="B441" t="s">
        <v>64</v>
      </c>
      <c r="C441" t="s">
        <v>16</v>
      </c>
      <c r="D441" t="s">
        <v>88</v>
      </c>
      <c r="E441">
        <v>5</v>
      </c>
      <c r="F441" s="8">
        <v>0</v>
      </c>
      <c r="G441" t="str">
        <f t="shared" si="6"/>
        <v/>
      </c>
      <c r="H441" s="8">
        <v>0</v>
      </c>
    </row>
    <row r="442" spans="1:8" x14ac:dyDescent="0.3">
      <c r="A442" t="s">
        <v>354</v>
      </c>
      <c r="B442" t="s">
        <v>64</v>
      </c>
      <c r="C442" t="s">
        <v>16</v>
      </c>
      <c r="D442" t="s">
        <v>88</v>
      </c>
      <c r="E442">
        <v>6</v>
      </c>
      <c r="F442" s="8">
        <v>0</v>
      </c>
      <c r="G442" t="str">
        <f t="shared" si="6"/>
        <v/>
      </c>
      <c r="H442" s="8">
        <v>0</v>
      </c>
    </row>
    <row r="443" spans="1:8" x14ac:dyDescent="0.3">
      <c r="A443" t="s">
        <v>309</v>
      </c>
      <c r="B443" t="s">
        <v>64</v>
      </c>
      <c r="C443" t="s">
        <v>16</v>
      </c>
      <c r="D443" t="s">
        <v>60</v>
      </c>
      <c r="E443">
        <v>7</v>
      </c>
      <c r="F443" s="8">
        <v>0</v>
      </c>
      <c r="G443" t="str">
        <f t="shared" si="6"/>
        <v/>
      </c>
      <c r="H443" s="8">
        <v>0</v>
      </c>
    </row>
    <row r="444" spans="1:8" x14ac:dyDescent="0.3">
      <c r="A444" t="s">
        <v>257</v>
      </c>
      <c r="B444" t="s">
        <v>64</v>
      </c>
      <c r="C444" t="s">
        <v>16</v>
      </c>
      <c r="D444" t="s">
        <v>88</v>
      </c>
      <c r="E444">
        <v>9</v>
      </c>
      <c r="F444" s="8">
        <v>0</v>
      </c>
      <c r="G444" t="str">
        <f t="shared" si="6"/>
        <v/>
      </c>
      <c r="H444" s="8">
        <v>0</v>
      </c>
    </row>
    <row r="445" spans="1:8" x14ac:dyDescent="0.3">
      <c r="A445" t="s">
        <v>312</v>
      </c>
      <c r="B445" t="s">
        <v>64</v>
      </c>
      <c r="C445" t="s">
        <v>16</v>
      </c>
      <c r="D445" t="s">
        <v>131</v>
      </c>
      <c r="E445">
        <v>7</v>
      </c>
      <c r="F445" s="8">
        <v>0</v>
      </c>
      <c r="G445" t="str">
        <f t="shared" si="6"/>
        <v/>
      </c>
      <c r="H445" s="8">
        <v>0</v>
      </c>
    </row>
    <row r="446" spans="1:8" x14ac:dyDescent="0.3">
      <c r="A446" t="s">
        <v>442</v>
      </c>
      <c r="B446" t="s">
        <v>64</v>
      </c>
      <c r="C446" t="s">
        <v>20</v>
      </c>
      <c r="D446" t="s">
        <v>34</v>
      </c>
      <c r="E446">
        <v>3</v>
      </c>
      <c r="F446" s="8">
        <v>0</v>
      </c>
      <c r="G446" t="str">
        <f t="shared" si="6"/>
        <v/>
      </c>
      <c r="H446" s="8">
        <v>0</v>
      </c>
    </row>
    <row r="447" spans="1:8" x14ac:dyDescent="0.3">
      <c r="A447" t="s">
        <v>476</v>
      </c>
      <c r="B447" t="s">
        <v>64</v>
      </c>
      <c r="C447" t="s">
        <v>20</v>
      </c>
      <c r="D447" t="s">
        <v>23</v>
      </c>
      <c r="E447">
        <v>2</v>
      </c>
      <c r="F447" s="8">
        <v>0</v>
      </c>
      <c r="G447" t="str">
        <f t="shared" si="6"/>
        <v/>
      </c>
      <c r="H447" s="8">
        <v>0</v>
      </c>
    </row>
    <row r="448" spans="1:8" x14ac:dyDescent="0.3">
      <c r="A448" t="s">
        <v>242</v>
      </c>
      <c r="B448" t="s">
        <v>64</v>
      </c>
      <c r="C448" t="s">
        <v>20</v>
      </c>
      <c r="D448" t="s">
        <v>17</v>
      </c>
      <c r="E448">
        <v>9</v>
      </c>
      <c r="F448" s="8">
        <v>0</v>
      </c>
      <c r="G448" t="str">
        <f t="shared" si="6"/>
        <v/>
      </c>
      <c r="H448" s="8">
        <v>0</v>
      </c>
    </row>
    <row r="449" spans="1:9" x14ac:dyDescent="0.3">
      <c r="A449" t="s">
        <v>137</v>
      </c>
      <c r="B449" t="s">
        <v>64</v>
      </c>
      <c r="C449" t="s">
        <v>20</v>
      </c>
      <c r="D449" t="s">
        <v>23</v>
      </c>
      <c r="E449">
        <v>19</v>
      </c>
      <c r="F449" s="8">
        <v>0</v>
      </c>
      <c r="G449" t="str">
        <f t="shared" si="6"/>
        <v/>
      </c>
      <c r="H449" s="8">
        <v>0</v>
      </c>
    </row>
    <row r="450" spans="1:9" x14ac:dyDescent="0.3">
      <c r="A450" t="s">
        <v>289</v>
      </c>
      <c r="B450" t="s">
        <v>64</v>
      </c>
      <c r="C450" t="s">
        <v>20</v>
      </c>
      <c r="D450" t="s">
        <v>27</v>
      </c>
      <c r="E450">
        <v>7</v>
      </c>
      <c r="F450" s="8">
        <v>0</v>
      </c>
      <c r="G450" t="str">
        <f t="shared" si="6"/>
        <v/>
      </c>
      <c r="H450" s="8">
        <v>0</v>
      </c>
    </row>
    <row r="451" spans="1:9" x14ac:dyDescent="0.3">
      <c r="A451" t="s">
        <v>297</v>
      </c>
      <c r="B451" t="s">
        <v>64</v>
      </c>
      <c r="C451" t="s">
        <v>20</v>
      </c>
      <c r="D451" t="s">
        <v>27</v>
      </c>
      <c r="E451">
        <v>7</v>
      </c>
      <c r="F451" s="8">
        <v>0</v>
      </c>
      <c r="G451" t="str">
        <f t="shared" si="6"/>
        <v/>
      </c>
      <c r="H451" s="8">
        <v>0</v>
      </c>
    </row>
    <row r="452" spans="1:9" x14ac:dyDescent="0.3">
      <c r="A452" t="s">
        <v>481</v>
      </c>
      <c r="B452" t="s">
        <v>64</v>
      </c>
      <c r="C452" t="s">
        <v>20</v>
      </c>
      <c r="D452" t="s">
        <v>20</v>
      </c>
      <c r="E452">
        <v>2</v>
      </c>
      <c r="F452" s="8">
        <v>0</v>
      </c>
      <c r="G452" t="str">
        <f t="shared" si="6"/>
        <v/>
      </c>
      <c r="H452" s="8">
        <v>0</v>
      </c>
    </row>
    <row r="453" spans="1:9" x14ac:dyDescent="0.3">
      <c r="A453" t="s">
        <v>384</v>
      </c>
      <c r="B453" t="s">
        <v>64</v>
      </c>
      <c r="C453" t="s">
        <v>20</v>
      </c>
      <c r="D453" t="s">
        <v>27</v>
      </c>
      <c r="E453">
        <v>5</v>
      </c>
      <c r="F453" s="8">
        <v>0</v>
      </c>
      <c r="G453" t="str">
        <f t="shared" si="6"/>
        <v/>
      </c>
      <c r="H453" s="8">
        <v>0</v>
      </c>
    </row>
    <row r="454" spans="1:9" x14ac:dyDescent="0.3">
      <c r="A454" t="s">
        <v>333</v>
      </c>
      <c r="B454" t="s">
        <v>64</v>
      </c>
      <c r="C454" t="s">
        <v>20</v>
      </c>
      <c r="D454" t="s">
        <v>34</v>
      </c>
      <c r="E454">
        <v>6</v>
      </c>
      <c r="F454" s="8">
        <v>0</v>
      </c>
      <c r="G454" t="str">
        <f t="shared" ref="G454:G515" si="7">IFERROR(AVERAGE(I454:AT454),"")</f>
        <v/>
      </c>
      <c r="H454" s="8">
        <v>0</v>
      </c>
    </row>
    <row r="455" spans="1:9" x14ac:dyDescent="0.3">
      <c r="A455" t="s">
        <v>165</v>
      </c>
      <c r="B455" t="s">
        <v>64</v>
      </c>
      <c r="C455" t="s">
        <v>20</v>
      </c>
      <c r="D455" t="s">
        <v>83</v>
      </c>
      <c r="E455">
        <v>14</v>
      </c>
      <c r="F455" s="8">
        <v>0</v>
      </c>
      <c r="G455" t="str">
        <f t="shared" si="7"/>
        <v/>
      </c>
      <c r="H455" s="8">
        <v>0</v>
      </c>
    </row>
    <row r="456" spans="1:9" x14ac:dyDescent="0.3">
      <c r="A456" t="s">
        <v>65</v>
      </c>
      <c r="B456" t="s">
        <v>64</v>
      </c>
      <c r="C456" t="s">
        <v>20</v>
      </c>
      <c r="D456" t="s">
        <v>48</v>
      </c>
      <c r="E456">
        <v>40</v>
      </c>
      <c r="F456" s="8">
        <v>0</v>
      </c>
      <c r="G456" t="str">
        <f t="shared" si="7"/>
        <v/>
      </c>
      <c r="H456" s="8">
        <v>0</v>
      </c>
    </row>
    <row r="457" spans="1:9" x14ac:dyDescent="0.3">
      <c r="A457" t="s">
        <v>148</v>
      </c>
      <c r="B457" t="s">
        <v>64</v>
      </c>
      <c r="C457" t="s">
        <v>8</v>
      </c>
      <c r="D457" t="s">
        <v>8</v>
      </c>
      <c r="E457">
        <v>16</v>
      </c>
      <c r="F457" s="8">
        <v>0</v>
      </c>
      <c r="G457" t="str">
        <f t="shared" si="7"/>
        <v/>
      </c>
      <c r="H457" s="8">
        <v>0</v>
      </c>
    </row>
    <row r="458" spans="1:9" x14ac:dyDescent="0.3">
      <c r="A458" t="s">
        <v>370</v>
      </c>
      <c r="B458" t="s">
        <v>64</v>
      </c>
      <c r="C458" t="s">
        <v>8</v>
      </c>
      <c r="D458" t="s">
        <v>9</v>
      </c>
      <c r="E458">
        <v>5</v>
      </c>
      <c r="F458" s="8">
        <v>0</v>
      </c>
      <c r="G458" t="str">
        <f t="shared" si="7"/>
        <v/>
      </c>
      <c r="H458" s="8">
        <v>0</v>
      </c>
    </row>
    <row r="459" spans="1:9" x14ac:dyDescent="0.3">
      <c r="A459" t="s">
        <v>63</v>
      </c>
      <c r="B459" t="s">
        <v>64</v>
      </c>
      <c r="C459" t="s">
        <v>8</v>
      </c>
      <c r="D459" t="s">
        <v>9</v>
      </c>
      <c r="E459">
        <v>41</v>
      </c>
      <c r="F459" s="8">
        <v>0</v>
      </c>
      <c r="G459" t="str">
        <f t="shared" si="7"/>
        <v/>
      </c>
      <c r="H459" s="8">
        <v>0</v>
      </c>
    </row>
    <row r="460" spans="1:9" x14ac:dyDescent="0.3">
      <c r="A460" t="s">
        <v>241</v>
      </c>
      <c r="B460" t="s">
        <v>64</v>
      </c>
      <c r="C460" t="s">
        <v>8</v>
      </c>
      <c r="D460" t="s">
        <v>9</v>
      </c>
      <c r="E460">
        <v>9</v>
      </c>
      <c r="F460" s="8">
        <v>0</v>
      </c>
      <c r="G460" t="str">
        <f t="shared" si="7"/>
        <v/>
      </c>
      <c r="H460" s="8">
        <v>0</v>
      </c>
    </row>
    <row r="461" spans="1:9" x14ac:dyDescent="0.3">
      <c r="A461" t="s">
        <v>163</v>
      </c>
      <c r="B461" t="s">
        <v>42</v>
      </c>
      <c r="C461" t="s">
        <v>71</v>
      </c>
      <c r="D461" t="s">
        <v>72</v>
      </c>
      <c r="E461">
        <v>15</v>
      </c>
      <c r="F461" s="8">
        <v>0</v>
      </c>
      <c r="G461">
        <f t="shared" si="7"/>
        <v>7.7</v>
      </c>
      <c r="H461" s="8">
        <v>0</v>
      </c>
      <c r="I461">
        <v>7.7</v>
      </c>
    </row>
    <row r="462" spans="1:9" x14ac:dyDescent="0.3">
      <c r="A462" t="s">
        <v>562</v>
      </c>
      <c r="B462" t="s">
        <v>42</v>
      </c>
      <c r="C462" t="s">
        <v>71</v>
      </c>
      <c r="D462" t="s">
        <v>72</v>
      </c>
      <c r="E462">
        <v>1</v>
      </c>
      <c r="F462" s="8">
        <v>0</v>
      </c>
      <c r="G462" t="str">
        <f t="shared" si="7"/>
        <v/>
      </c>
      <c r="H462" s="8">
        <v>0</v>
      </c>
    </row>
    <row r="463" spans="1:9" x14ac:dyDescent="0.3">
      <c r="A463" t="s">
        <v>550</v>
      </c>
      <c r="B463" t="s">
        <v>42</v>
      </c>
      <c r="C463" t="s">
        <v>71</v>
      </c>
      <c r="D463" t="s">
        <v>72</v>
      </c>
      <c r="E463">
        <v>1</v>
      </c>
      <c r="F463" s="8">
        <v>0</v>
      </c>
      <c r="G463" t="str">
        <f t="shared" si="7"/>
        <v/>
      </c>
      <c r="H463" s="8">
        <v>0</v>
      </c>
    </row>
    <row r="464" spans="1:9" x14ac:dyDescent="0.3">
      <c r="A464" t="s">
        <v>496</v>
      </c>
      <c r="B464" t="s">
        <v>42</v>
      </c>
      <c r="C464" t="s">
        <v>16</v>
      </c>
      <c r="D464" t="s">
        <v>111</v>
      </c>
      <c r="E464">
        <v>2</v>
      </c>
      <c r="F464" s="8">
        <v>0</v>
      </c>
      <c r="G464">
        <f t="shared" si="7"/>
        <v>6.8</v>
      </c>
      <c r="H464" s="8">
        <v>0</v>
      </c>
      <c r="I464">
        <v>6.8</v>
      </c>
    </row>
    <row r="465" spans="1:9" x14ac:dyDescent="0.3">
      <c r="A465" t="s">
        <v>424</v>
      </c>
      <c r="B465" t="s">
        <v>42</v>
      </c>
      <c r="C465" t="s">
        <v>16</v>
      </c>
      <c r="D465" t="s">
        <v>188</v>
      </c>
      <c r="E465">
        <v>4</v>
      </c>
      <c r="F465" s="8">
        <v>0</v>
      </c>
      <c r="G465" t="str">
        <f t="shared" si="7"/>
        <v/>
      </c>
      <c r="H465" s="8">
        <v>0</v>
      </c>
    </row>
    <row r="466" spans="1:9" x14ac:dyDescent="0.3">
      <c r="A466" t="s">
        <v>399</v>
      </c>
      <c r="B466" t="s">
        <v>42</v>
      </c>
      <c r="C466" t="s">
        <v>16</v>
      </c>
      <c r="D466" t="s">
        <v>400</v>
      </c>
      <c r="E466">
        <v>5</v>
      </c>
      <c r="F466" s="8">
        <v>0</v>
      </c>
      <c r="G466" t="str">
        <f t="shared" si="7"/>
        <v/>
      </c>
      <c r="H466" s="8">
        <v>0</v>
      </c>
    </row>
    <row r="467" spans="1:9" x14ac:dyDescent="0.3">
      <c r="A467" t="s">
        <v>497</v>
      </c>
      <c r="B467" t="s">
        <v>42</v>
      </c>
      <c r="C467" t="s">
        <v>16</v>
      </c>
      <c r="D467" t="s">
        <v>146</v>
      </c>
      <c r="E467">
        <v>2</v>
      </c>
      <c r="F467" s="8">
        <v>0</v>
      </c>
      <c r="G467">
        <f t="shared" si="7"/>
        <v>7.1</v>
      </c>
      <c r="H467" s="8">
        <v>0</v>
      </c>
      <c r="I467">
        <v>7.1</v>
      </c>
    </row>
    <row r="468" spans="1:9" x14ac:dyDescent="0.3">
      <c r="A468" t="s">
        <v>407</v>
      </c>
      <c r="B468" t="s">
        <v>42</v>
      </c>
      <c r="C468" t="s">
        <v>16</v>
      </c>
      <c r="D468" t="s">
        <v>88</v>
      </c>
      <c r="E468">
        <v>5</v>
      </c>
      <c r="F468" s="8">
        <v>0</v>
      </c>
      <c r="G468" t="str">
        <f t="shared" si="7"/>
        <v/>
      </c>
      <c r="H468" s="8">
        <v>0</v>
      </c>
    </row>
    <row r="469" spans="1:9" x14ac:dyDescent="0.3">
      <c r="A469" t="s">
        <v>359</v>
      </c>
      <c r="B469" t="s">
        <v>42</v>
      </c>
      <c r="C469" t="s">
        <v>16</v>
      </c>
      <c r="D469" t="s">
        <v>188</v>
      </c>
      <c r="E469">
        <v>6</v>
      </c>
      <c r="F469" s="8">
        <v>0</v>
      </c>
      <c r="G469">
        <f t="shared" si="7"/>
        <v>7.2</v>
      </c>
      <c r="H469" s="8">
        <v>0</v>
      </c>
      <c r="I469">
        <v>7.2</v>
      </c>
    </row>
    <row r="470" spans="1:9" x14ac:dyDescent="0.3">
      <c r="A470" t="s">
        <v>488</v>
      </c>
      <c r="B470" t="s">
        <v>42</v>
      </c>
      <c r="C470" t="s">
        <v>16</v>
      </c>
      <c r="D470" t="s">
        <v>88</v>
      </c>
      <c r="E470">
        <v>2</v>
      </c>
      <c r="F470" s="8">
        <v>0</v>
      </c>
      <c r="G470" t="str">
        <f t="shared" si="7"/>
        <v/>
      </c>
      <c r="H470" s="8">
        <v>0</v>
      </c>
    </row>
    <row r="471" spans="1:9" x14ac:dyDescent="0.3">
      <c r="A471" t="s">
        <v>457</v>
      </c>
      <c r="B471" t="s">
        <v>42</v>
      </c>
      <c r="C471" t="s">
        <v>16</v>
      </c>
      <c r="D471" t="s">
        <v>88</v>
      </c>
      <c r="E471">
        <v>3</v>
      </c>
      <c r="F471" s="8">
        <v>0</v>
      </c>
      <c r="G471">
        <f t="shared" si="7"/>
        <v>6.8</v>
      </c>
      <c r="H471" s="8">
        <v>0</v>
      </c>
      <c r="I471">
        <v>6.8</v>
      </c>
    </row>
    <row r="472" spans="1:9" x14ac:dyDescent="0.3">
      <c r="A472" t="s">
        <v>109</v>
      </c>
      <c r="B472" t="s">
        <v>42</v>
      </c>
      <c r="C472" t="s">
        <v>16</v>
      </c>
      <c r="D472" t="s">
        <v>88</v>
      </c>
      <c r="E472">
        <v>23</v>
      </c>
      <c r="F472" s="8">
        <v>0</v>
      </c>
      <c r="G472">
        <f t="shared" si="7"/>
        <v>6.3</v>
      </c>
      <c r="H472" s="8">
        <v>0</v>
      </c>
      <c r="I472">
        <v>6.3</v>
      </c>
    </row>
    <row r="473" spans="1:9" x14ac:dyDescent="0.3">
      <c r="A473" t="s">
        <v>234</v>
      </c>
      <c r="B473" t="s">
        <v>42</v>
      </c>
      <c r="C473" t="s">
        <v>16</v>
      </c>
      <c r="D473" t="s">
        <v>131</v>
      </c>
      <c r="E473">
        <v>10</v>
      </c>
      <c r="F473" s="8">
        <v>0</v>
      </c>
      <c r="G473">
        <f t="shared" si="7"/>
        <v>7.4</v>
      </c>
      <c r="H473" s="8">
        <v>0</v>
      </c>
      <c r="I473">
        <v>7.4</v>
      </c>
    </row>
    <row r="474" spans="1:9" x14ac:dyDescent="0.3">
      <c r="A474" t="s">
        <v>401</v>
      </c>
      <c r="B474" t="s">
        <v>42</v>
      </c>
      <c r="C474" t="s">
        <v>16</v>
      </c>
      <c r="D474" t="s">
        <v>131</v>
      </c>
      <c r="E474">
        <v>5</v>
      </c>
      <c r="F474" s="8">
        <v>0</v>
      </c>
      <c r="G474" t="str">
        <f t="shared" si="7"/>
        <v/>
      </c>
      <c r="H474" s="8">
        <v>0</v>
      </c>
    </row>
    <row r="475" spans="1:9" x14ac:dyDescent="0.3">
      <c r="A475" t="s">
        <v>472</v>
      </c>
      <c r="B475" t="s">
        <v>42</v>
      </c>
      <c r="C475" t="s">
        <v>20</v>
      </c>
      <c r="D475" t="s">
        <v>27</v>
      </c>
      <c r="E475">
        <v>2</v>
      </c>
      <c r="F475" s="8">
        <v>0</v>
      </c>
      <c r="G475" t="str">
        <f t="shared" si="7"/>
        <v/>
      </c>
      <c r="H475" s="8">
        <v>0</v>
      </c>
    </row>
    <row r="476" spans="1:9" x14ac:dyDescent="0.3">
      <c r="A476" t="s">
        <v>440</v>
      </c>
      <c r="B476" t="s">
        <v>42</v>
      </c>
      <c r="C476" t="s">
        <v>20</v>
      </c>
      <c r="D476" t="s">
        <v>83</v>
      </c>
      <c r="E476">
        <v>3</v>
      </c>
      <c r="F476" s="8">
        <v>0</v>
      </c>
      <c r="G476" t="str">
        <f t="shared" si="7"/>
        <v/>
      </c>
      <c r="H476" s="8">
        <v>0</v>
      </c>
    </row>
    <row r="477" spans="1:9" x14ac:dyDescent="0.3">
      <c r="A477" t="s">
        <v>119</v>
      </c>
      <c r="B477" t="s">
        <v>42</v>
      </c>
      <c r="C477" t="s">
        <v>20</v>
      </c>
      <c r="D477" t="s">
        <v>23</v>
      </c>
      <c r="E477">
        <v>21</v>
      </c>
      <c r="F477" s="8">
        <v>0</v>
      </c>
      <c r="G477">
        <f t="shared" si="7"/>
        <v>7.4</v>
      </c>
      <c r="H477" s="8">
        <v>0</v>
      </c>
      <c r="I477">
        <v>7.4</v>
      </c>
    </row>
    <row r="478" spans="1:9" x14ac:dyDescent="0.3">
      <c r="A478" t="s">
        <v>222</v>
      </c>
      <c r="B478" t="s">
        <v>42</v>
      </c>
      <c r="C478" t="s">
        <v>20</v>
      </c>
      <c r="D478" t="s">
        <v>27</v>
      </c>
      <c r="E478">
        <v>10</v>
      </c>
      <c r="F478" s="8">
        <v>0</v>
      </c>
      <c r="G478">
        <f t="shared" si="7"/>
        <v>6.6</v>
      </c>
      <c r="H478" s="8">
        <v>0</v>
      </c>
      <c r="I478">
        <v>6.6</v>
      </c>
    </row>
    <row r="479" spans="1:9" x14ac:dyDescent="0.3">
      <c r="A479" t="s">
        <v>330</v>
      </c>
      <c r="B479" t="s">
        <v>42</v>
      </c>
      <c r="C479" t="s">
        <v>20</v>
      </c>
      <c r="D479" t="s">
        <v>27</v>
      </c>
      <c r="E479">
        <v>6</v>
      </c>
      <c r="F479" s="8">
        <v>0</v>
      </c>
      <c r="G479">
        <f t="shared" si="7"/>
        <v>6.6</v>
      </c>
      <c r="H479" s="8">
        <v>0</v>
      </c>
      <c r="I479">
        <v>6.6</v>
      </c>
    </row>
    <row r="480" spans="1:9" x14ac:dyDescent="0.3">
      <c r="A480" t="s">
        <v>263</v>
      </c>
      <c r="B480" t="s">
        <v>42</v>
      </c>
      <c r="C480" t="s">
        <v>20</v>
      </c>
      <c r="D480" t="s">
        <v>27</v>
      </c>
      <c r="E480">
        <v>8</v>
      </c>
      <c r="F480" s="8">
        <v>0</v>
      </c>
      <c r="G480">
        <f t="shared" si="7"/>
        <v>6.5</v>
      </c>
      <c r="H480" s="8">
        <v>0</v>
      </c>
      <c r="I480">
        <v>6.5</v>
      </c>
    </row>
    <row r="481" spans="1:9" x14ac:dyDescent="0.3">
      <c r="A481" t="s">
        <v>194</v>
      </c>
      <c r="B481" t="s">
        <v>42</v>
      </c>
      <c r="C481" t="s">
        <v>20</v>
      </c>
      <c r="D481" t="s">
        <v>48</v>
      </c>
      <c r="E481">
        <v>12</v>
      </c>
      <c r="F481" s="8">
        <v>0</v>
      </c>
      <c r="G481" t="str">
        <f t="shared" si="7"/>
        <v/>
      </c>
      <c r="H481" s="8">
        <v>0</v>
      </c>
    </row>
    <row r="482" spans="1:9" x14ac:dyDescent="0.3">
      <c r="A482" t="s">
        <v>50</v>
      </c>
      <c r="B482" t="s">
        <v>42</v>
      </c>
      <c r="C482" t="s">
        <v>20</v>
      </c>
      <c r="D482" t="s">
        <v>21</v>
      </c>
      <c r="E482">
        <v>50</v>
      </c>
      <c r="F482" s="8">
        <v>0</v>
      </c>
      <c r="G482">
        <f t="shared" si="7"/>
        <v>7.5</v>
      </c>
      <c r="H482" s="8">
        <v>0</v>
      </c>
      <c r="I482">
        <v>7.5</v>
      </c>
    </row>
    <row r="483" spans="1:9" x14ac:dyDescent="0.3">
      <c r="A483" t="s">
        <v>479</v>
      </c>
      <c r="B483" t="s">
        <v>42</v>
      </c>
      <c r="C483" t="s">
        <v>20</v>
      </c>
      <c r="D483" t="s">
        <v>27</v>
      </c>
      <c r="E483">
        <v>2</v>
      </c>
      <c r="F483" s="8">
        <v>0</v>
      </c>
      <c r="G483" t="str">
        <f t="shared" si="7"/>
        <v/>
      </c>
      <c r="H483" s="8">
        <v>0</v>
      </c>
    </row>
    <row r="484" spans="1:9" x14ac:dyDescent="0.3">
      <c r="A484" t="s">
        <v>469</v>
      </c>
      <c r="B484" t="s">
        <v>42</v>
      </c>
      <c r="C484" t="s">
        <v>8</v>
      </c>
      <c r="D484" t="s">
        <v>9</v>
      </c>
      <c r="E484">
        <v>2</v>
      </c>
      <c r="F484" s="8">
        <v>0</v>
      </c>
      <c r="G484">
        <f t="shared" si="7"/>
        <v>6.2</v>
      </c>
      <c r="H484" s="8">
        <v>0</v>
      </c>
      <c r="I484">
        <v>6.2</v>
      </c>
    </row>
    <row r="485" spans="1:9" x14ac:dyDescent="0.3">
      <c r="A485" t="s">
        <v>468</v>
      </c>
      <c r="B485" t="s">
        <v>42</v>
      </c>
      <c r="C485" t="s">
        <v>8</v>
      </c>
      <c r="D485" t="s">
        <v>9</v>
      </c>
      <c r="E485">
        <v>2</v>
      </c>
      <c r="F485" s="8">
        <v>0</v>
      </c>
      <c r="G485" t="str">
        <f t="shared" si="7"/>
        <v/>
      </c>
      <c r="H485" s="8">
        <v>0</v>
      </c>
    </row>
    <row r="486" spans="1:9" x14ac:dyDescent="0.3">
      <c r="A486" t="s">
        <v>41</v>
      </c>
      <c r="B486" t="s">
        <v>42</v>
      </c>
      <c r="C486" t="s">
        <v>8</v>
      </c>
      <c r="D486" t="s">
        <v>9</v>
      </c>
      <c r="E486">
        <v>61</v>
      </c>
      <c r="F486" s="8">
        <v>0</v>
      </c>
      <c r="G486" t="str">
        <f t="shared" si="7"/>
        <v/>
      </c>
      <c r="H486" s="8">
        <v>0</v>
      </c>
    </row>
    <row r="487" spans="1:9" x14ac:dyDescent="0.3">
      <c r="A487" t="s">
        <v>411</v>
      </c>
      <c r="B487" t="s">
        <v>42</v>
      </c>
      <c r="C487" t="s">
        <v>8</v>
      </c>
      <c r="D487" t="s">
        <v>9</v>
      </c>
      <c r="E487">
        <v>4</v>
      </c>
      <c r="F487" s="8">
        <v>0</v>
      </c>
      <c r="G487">
        <f t="shared" si="7"/>
        <v>6.4</v>
      </c>
      <c r="H487" s="8">
        <v>0</v>
      </c>
      <c r="I487">
        <v>6.4</v>
      </c>
    </row>
    <row r="488" spans="1:9" x14ac:dyDescent="0.3">
      <c r="A488" t="s">
        <v>545</v>
      </c>
      <c r="B488" t="s">
        <v>94</v>
      </c>
      <c r="C488" t="s">
        <v>71</v>
      </c>
      <c r="D488" t="s">
        <v>72</v>
      </c>
      <c r="E488">
        <v>1</v>
      </c>
      <c r="F488" s="8">
        <v>0</v>
      </c>
      <c r="G488" t="str">
        <f t="shared" si="7"/>
        <v/>
      </c>
      <c r="H488" s="8">
        <v>0</v>
      </c>
    </row>
    <row r="489" spans="1:9" x14ac:dyDescent="0.3">
      <c r="A489" t="s">
        <v>552</v>
      </c>
      <c r="B489" t="s">
        <v>94</v>
      </c>
      <c r="C489" t="s">
        <v>71</v>
      </c>
      <c r="D489" t="s">
        <v>72</v>
      </c>
      <c r="E489">
        <v>1</v>
      </c>
      <c r="F489" s="8">
        <v>0</v>
      </c>
      <c r="G489" t="str">
        <f t="shared" si="7"/>
        <v/>
      </c>
      <c r="H489" s="8">
        <v>0</v>
      </c>
    </row>
    <row r="490" spans="1:9" x14ac:dyDescent="0.3">
      <c r="A490" t="s">
        <v>534</v>
      </c>
      <c r="B490" t="s">
        <v>94</v>
      </c>
      <c r="C490" t="s">
        <v>71</v>
      </c>
      <c r="D490" t="s">
        <v>72</v>
      </c>
      <c r="E490">
        <v>1</v>
      </c>
      <c r="F490" s="8">
        <v>0</v>
      </c>
      <c r="G490" t="str">
        <f t="shared" si="7"/>
        <v/>
      </c>
      <c r="H490" s="8">
        <v>0</v>
      </c>
    </row>
    <row r="491" spans="1:9" x14ac:dyDescent="0.3">
      <c r="A491" t="s">
        <v>320</v>
      </c>
      <c r="B491" t="s">
        <v>94</v>
      </c>
      <c r="C491" t="s">
        <v>71</v>
      </c>
      <c r="D491" t="s">
        <v>72</v>
      </c>
      <c r="E491">
        <v>7</v>
      </c>
      <c r="F491" s="8">
        <v>0</v>
      </c>
      <c r="G491" t="str">
        <f t="shared" si="7"/>
        <v/>
      </c>
      <c r="H491" s="8">
        <v>0</v>
      </c>
    </row>
    <row r="492" spans="1:9" x14ac:dyDescent="0.3">
      <c r="A492" t="s">
        <v>308</v>
      </c>
      <c r="B492" t="s">
        <v>94</v>
      </c>
      <c r="C492" t="s">
        <v>16</v>
      </c>
      <c r="D492" t="s">
        <v>88</v>
      </c>
      <c r="E492">
        <v>7</v>
      </c>
      <c r="F492" s="8">
        <v>0</v>
      </c>
      <c r="G492" t="str">
        <f t="shared" si="7"/>
        <v/>
      </c>
      <c r="H492" s="8">
        <v>0</v>
      </c>
    </row>
    <row r="493" spans="1:9" x14ac:dyDescent="0.3">
      <c r="A493" t="s">
        <v>361</v>
      </c>
      <c r="B493" t="s">
        <v>94</v>
      </c>
      <c r="C493" t="s">
        <v>16</v>
      </c>
      <c r="D493" t="s">
        <v>131</v>
      </c>
      <c r="E493">
        <v>6</v>
      </c>
      <c r="F493" s="8">
        <v>0</v>
      </c>
      <c r="G493" t="str">
        <f t="shared" si="7"/>
        <v/>
      </c>
      <c r="H493" s="8">
        <v>0</v>
      </c>
    </row>
    <row r="494" spans="1:9" x14ac:dyDescent="0.3">
      <c r="A494" t="s">
        <v>484</v>
      </c>
      <c r="B494" t="s">
        <v>94</v>
      </c>
      <c r="C494" t="s">
        <v>16</v>
      </c>
      <c r="D494" t="s">
        <v>171</v>
      </c>
      <c r="E494">
        <v>2</v>
      </c>
      <c r="F494" s="8">
        <v>0</v>
      </c>
      <c r="G494" t="str">
        <f t="shared" si="7"/>
        <v/>
      </c>
      <c r="H494" s="8">
        <v>0</v>
      </c>
    </row>
    <row r="495" spans="1:9" x14ac:dyDescent="0.3">
      <c r="A495" t="s">
        <v>520</v>
      </c>
      <c r="B495" t="s">
        <v>94</v>
      </c>
      <c r="C495" t="s">
        <v>16</v>
      </c>
      <c r="D495" t="s">
        <v>146</v>
      </c>
      <c r="E495">
        <v>1</v>
      </c>
      <c r="F495" s="8">
        <v>0</v>
      </c>
      <c r="G495" t="str">
        <f t="shared" si="7"/>
        <v/>
      </c>
      <c r="H495" s="8">
        <v>0</v>
      </c>
    </row>
    <row r="496" spans="1:9" x14ac:dyDescent="0.3">
      <c r="A496" t="s">
        <v>429</v>
      </c>
      <c r="B496" t="s">
        <v>94</v>
      </c>
      <c r="C496" t="s">
        <v>16</v>
      </c>
      <c r="D496" t="s">
        <v>131</v>
      </c>
      <c r="E496">
        <v>4</v>
      </c>
      <c r="F496" s="8">
        <v>0</v>
      </c>
      <c r="G496" t="str">
        <f t="shared" si="7"/>
        <v/>
      </c>
      <c r="H496" s="8">
        <v>0</v>
      </c>
    </row>
    <row r="497" spans="1:8" x14ac:dyDescent="0.3">
      <c r="A497" t="s">
        <v>386</v>
      </c>
      <c r="B497" t="s">
        <v>94</v>
      </c>
      <c r="C497" t="s">
        <v>16</v>
      </c>
      <c r="D497" t="s">
        <v>88</v>
      </c>
      <c r="E497">
        <v>5</v>
      </c>
      <c r="F497" s="8">
        <v>0</v>
      </c>
      <c r="G497" t="str">
        <f t="shared" si="7"/>
        <v/>
      </c>
      <c r="H497" s="8">
        <v>0</v>
      </c>
    </row>
    <row r="498" spans="1:8" x14ac:dyDescent="0.3">
      <c r="A498" t="s">
        <v>358</v>
      </c>
      <c r="B498" t="s">
        <v>94</v>
      </c>
      <c r="C498" t="s">
        <v>16</v>
      </c>
      <c r="D498" t="s">
        <v>188</v>
      </c>
      <c r="E498">
        <v>6</v>
      </c>
      <c r="F498" s="8">
        <v>0</v>
      </c>
      <c r="G498" t="str">
        <f t="shared" si="7"/>
        <v/>
      </c>
      <c r="H498" s="8">
        <v>0</v>
      </c>
    </row>
    <row r="499" spans="1:8" x14ac:dyDescent="0.3">
      <c r="A499" t="s">
        <v>351</v>
      </c>
      <c r="B499" t="s">
        <v>94</v>
      </c>
      <c r="C499" t="s">
        <v>16</v>
      </c>
      <c r="D499" t="s">
        <v>88</v>
      </c>
      <c r="E499">
        <v>6</v>
      </c>
      <c r="F499" s="8">
        <v>0</v>
      </c>
      <c r="G499" t="str">
        <f t="shared" si="7"/>
        <v/>
      </c>
      <c r="H499" s="8">
        <v>0</v>
      </c>
    </row>
    <row r="500" spans="1:8" x14ac:dyDescent="0.3">
      <c r="A500" t="s">
        <v>493</v>
      </c>
      <c r="B500" t="s">
        <v>94</v>
      </c>
      <c r="C500" t="s">
        <v>16</v>
      </c>
      <c r="D500" t="s">
        <v>131</v>
      </c>
      <c r="E500">
        <v>2</v>
      </c>
      <c r="F500" s="8">
        <v>0</v>
      </c>
      <c r="G500" t="str">
        <f t="shared" si="7"/>
        <v/>
      </c>
      <c r="H500" s="8">
        <v>0</v>
      </c>
    </row>
    <row r="501" spans="1:8" x14ac:dyDescent="0.3">
      <c r="A501" t="s">
        <v>428</v>
      </c>
      <c r="B501" t="s">
        <v>94</v>
      </c>
      <c r="C501" t="s">
        <v>16</v>
      </c>
      <c r="D501" t="s">
        <v>88</v>
      </c>
      <c r="E501">
        <v>4</v>
      </c>
      <c r="F501" s="8">
        <v>0</v>
      </c>
      <c r="G501" t="str">
        <f t="shared" si="7"/>
        <v/>
      </c>
      <c r="H501" s="8">
        <v>0</v>
      </c>
    </row>
    <row r="502" spans="1:8" x14ac:dyDescent="0.3">
      <c r="A502" t="s">
        <v>430</v>
      </c>
      <c r="B502" t="s">
        <v>94</v>
      </c>
      <c r="C502" t="s">
        <v>16</v>
      </c>
      <c r="D502" t="s">
        <v>146</v>
      </c>
      <c r="E502">
        <v>4</v>
      </c>
      <c r="F502" s="8">
        <v>0</v>
      </c>
      <c r="G502" t="str">
        <f t="shared" si="7"/>
        <v/>
      </c>
      <c r="H502" s="8">
        <v>0</v>
      </c>
    </row>
    <row r="503" spans="1:8" x14ac:dyDescent="0.3">
      <c r="A503" t="s">
        <v>226</v>
      </c>
      <c r="B503" t="s">
        <v>94</v>
      </c>
      <c r="C503" t="s">
        <v>20</v>
      </c>
      <c r="D503" t="s">
        <v>27</v>
      </c>
      <c r="E503">
        <v>10</v>
      </c>
      <c r="F503" s="8">
        <v>0</v>
      </c>
      <c r="G503" t="str">
        <f t="shared" si="7"/>
        <v/>
      </c>
      <c r="H503" s="8">
        <v>0</v>
      </c>
    </row>
    <row r="504" spans="1:8" x14ac:dyDescent="0.3">
      <c r="A504" t="s">
        <v>301</v>
      </c>
      <c r="B504" t="s">
        <v>94</v>
      </c>
      <c r="C504" t="s">
        <v>20</v>
      </c>
      <c r="D504" t="s">
        <v>27</v>
      </c>
      <c r="E504">
        <v>7</v>
      </c>
      <c r="F504" s="8">
        <v>0</v>
      </c>
      <c r="G504" t="str">
        <f t="shared" si="7"/>
        <v/>
      </c>
      <c r="H504" s="8">
        <v>0</v>
      </c>
    </row>
    <row r="505" spans="1:8" x14ac:dyDescent="0.3">
      <c r="A505" t="s">
        <v>512</v>
      </c>
      <c r="B505" t="s">
        <v>94</v>
      </c>
      <c r="C505" t="s">
        <v>20</v>
      </c>
      <c r="D505" t="s">
        <v>20</v>
      </c>
      <c r="E505">
        <v>1</v>
      </c>
      <c r="F505" s="8">
        <v>0</v>
      </c>
      <c r="G505" t="str">
        <f t="shared" si="7"/>
        <v/>
      </c>
      <c r="H505" s="8">
        <v>0</v>
      </c>
    </row>
    <row r="506" spans="1:8" x14ac:dyDescent="0.3">
      <c r="A506" t="s">
        <v>482</v>
      </c>
      <c r="B506" t="s">
        <v>94</v>
      </c>
      <c r="C506" t="s">
        <v>20</v>
      </c>
      <c r="D506" t="s">
        <v>20</v>
      </c>
      <c r="E506">
        <v>2</v>
      </c>
      <c r="F506" s="8">
        <v>0</v>
      </c>
      <c r="G506" t="str">
        <f t="shared" si="7"/>
        <v/>
      </c>
      <c r="H506" s="8">
        <v>0</v>
      </c>
    </row>
    <row r="507" spans="1:8" x14ac:dyDescent="0.3">
      <c r="A507" t="s">
        <v>418</v>
      </c>
      <c r="B507" t="s">
        <v>94</v>
      </c>
      <c r="C507" t="s">
        <v>20</v>
      </c>
      <c r="D507" t="s">
        <v>23</v>
      </c>
      <c r="E507">
        <v>4</v>
      </c>
      <c r="F507" s="8">
        <v>0</v>
      </c>
      <c r="G507" t="str">
        <f t="shared" si="7"/>
        <v/>
      </c>
      <c r="H507" s="8">
        <v>0</v>
      </c>
    </row>
    <row r="508" spans="1:8" x14ac:dyDescent="0.3">
      <c r="A508" t="s">
        <v>294</v>
      </c>
      <c r="B508" t="s">
        <v>94</v>
      </c>
      <c r="C508" t="s">
        <v>20</v>
      </c>
      <c r="D508" t="s">
        <v>23</v>
      </c>
      <c r="E508">
        <v>7</v>
      </c>
      <c r="F508" s="8">
        <v>0</v>
      </c>
      <c r="G508" t="str">
        <f t="shared" si="7"/>
        <v/>
      </c>
      <c r="H508" s="8">
        <v>0</v>
      </c>
    </row>
    <row r="509" spans="1:8" x14ac:dyDescent="0.3">
      <c r="A509" t="s">
        <v>303</v>
      </c>
      <c r="B509" t="s">
        <v>94</v>
      </c>
      <c r="C509" t="s">
        <v>20</v>
      </c>
      <c r="D509" t="s">
        <v>20</v>
      </c>
      <c r="E509">
        <v>7</v>
      </c>
      <c r="F509" s="8">
        <v>0</v>
      </c>
      <c r="G509" t="str">
        <f t="shared" si="7"/>
        <v/>
      </c>
      <c r="H509" s="8">
        <v>0</v>
      </c>
    </row>
    <row r="510" spans="1:8" x14ac:dyDescent="0.3">
      <c r="A510" t="s">
        <v>93</v>
      </c>
      <c r="B510" t="s">
        <v>94</v>
      </c>
      <c r="C510" t="s">
        <v>8</v>
      </c>
      <c r="D510" t="s">
        <v>9</v>
      </c>
      <c r="E510">
        <v>26</v>
      </c>
      <c r="F510" s="8">
        <v>0</v>
      </c>
      <c r="G510" t="str">
        <f t="shared" si="7"/>
        <v/>
      </c>
      <c r="H510" s="8">
        <v>0</v>
      </c>
    </row>
    <row r="511" spans="1:8" x14ac:dyDescent="0.3">
      <c r="A511" t="s">
        <v>286</v>
      </c>
      <c r="B511" t="s">
        <v>94</v>
      </c>
      <c r="C511" t="s">
        <v>8</v>
      </c>
      <c r="D511" t="s">
        <v>9</v>
      </c>
      <c r="E511">
        <v>7</v>
      </c>
      <c r="F511" s="8">
        <v>0</v>
      </c>
      <c r="G511" t="str">
        <f t="shared" si="7"/>
        <v/>
      </c>
      <c r="H511" s="8">
        <v>0</v>
      </c>
    </row>
    <row r="512" spans="1:8" x14ac:dyDescent="0.3">
      <c r="A512" t="s">
        <v>504</v>
      </c>
      <c r="B512" t="s">
        <v>94</v>
      </c>
      <c r="C512" t="s">
        <v>8</v>
      </c>
      <c r="D512" t="s">
        <v>9</v>
      </c>
      <c r="E512">
        <v>1</v>
      </c>
      <c r="F512" s="8">
        <v>0</v>
      </c>
      <c r="G512" t="str">
        <f t="shared" si="7"/>
        <v/>
      </c>
      <c r="H512" s="8">
        <v>0</v>
      </c>
    </row>
    <row r="513" spans="1:8" x14ac:dyDescent="0.3">
      <c r="A513" t="s">
        <v>505</v>
      </c>
      <c r="B513" t="s">
        <v>94</v>
      </c>
      <c r="C513" t="s">
        <v>8</v>
      </c>
      <c r="D513" t="s">
        <v>34</v>
      </c>
      <c r="E513">
        <v>1</v>
      </c>
      <c r="F513" s="8">
        <v>0</v>
      </c>
      <c r="G513" t="str">
        <f t="shared" si="7"/>
        <v/>
      </c>
      <c r="H513" s="8">
        <v>0</v>
      </c>
    </row>
    <row r="514" spans="1:8" x14ac:dyDescent="0.3">
      <c r="A514" t="s">
        <v>217</v>
      </c>
      <c r="B514" t="s">
        <v>94</v>
      </c>
      <c r="C514" t="s">
        <v>8</v>
      </c>
      <c r="D514" t="s">
        <v>9</v>
      </c>
      <c r="E514">
        <v>10</v>
      </c>
      <c r="F514" s="8">
        <v>0</v>
      </c>
      <c r="G514" t="str">
        <f t="shared" si="7"/>
        <v/>
      </c>
      <c r="H514" s="8">
        <v>0</v>
      </c>
    </row>
    <row r="515" spans="1:8" x14ac:dyDescent="0.3">
      <c r="A515" t="s">
        <v>164</v>
      </c>
      <c r="B515" t="s">
        <v>94</v>
      </c>
      <c r="C515" t="s">
        <v>8</v>
      </c>
      <c r="D515" t="s">
        <v>8</v>
      </c>
      <c r="E515">
        <v>14</v>
      </c>
      <c r="F515" s="8">
        <v>0</v>
      </c>
      <c r="G515" t="str">
        <f t="shared" si="7"/>
        <v/>
      </c>
      <c r="H515" s="8">
        <v>0</v>
      </c>
    </row>
  </sheetData>
  <sortState xmlns:xlrd2="http://schemas.microsoft.com/office/spreadsheetml/2017/richdata2" ref="A3:G515">
    <sortCondition ref="B3:B5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4C04-CCE2-4E5B-A8F0-AFBB5D06A749}">
  <dimension ref="A1:T514"/>
  <sheetViews>
    <sheetView workbookViewId="0">
      <pane ySplit="1" topLeftCell="A486" activePane="bottomLeft" state="frozen"/>
      <selection pane="bottomLeft" activeCell="J503" sqref="J503"/>
    </sheetView>
  </sheetViews>
  <sheetFormatPr defaultRowHeight="14.4" x14ac:dyDescent="0.3"/>
  <cols>
    <col min="1" max="1" width="14.88671875" customWidth="1"/>
    <col min="2" max="2" width="11.33203125" customWidth="1"/>
    <col min="3" max="4" width="3.5546875" customWidth="1"/>
    <col min="5" max="5" width="6.109375" customWidth="1"/>
    <col min="6" max="6" width="0.88671875" customWidth="1"/>
    <col min="7" max="7" width="5.88671875" style="35" customWidth="1"/>
    <col min="8" max="8" width="5.88671875" style="37" customWidth="1"/>
    <col min="9" max="17" width="6.77734375" style="2" customWidth="1"/>
    <col min="18" max="20" width="6.77734375" customWidth="1"/>
  </cols>
  <sheetData>
    <row r="1" spans="1:20" s="24" customFormat="1" ht="31.2" customHeight="1" x14ac:dyDescent="0.3">
      <c r="A1" s="24" t="s">
        <v>0</v>
      </c>
      <c r="B1" s="24" t="s">
        <v>1</v>
      </c>
      <c r="C1" s="24" t="s">
        <v>675</v>
      </c>
      <c r="D1" s="24" t="s">
        <v>3</v>
      </c>
      <c r="E1" s="25" t="s">
        <v>4</v>
      </c>
      <c r="G1" s="34" t="s">
        <v>758</v>
      </c>
      <c r="H1" s="36" t="s">
        <v>760</v>
      </c>
      <c r="I1" s="26" t="s">
        <v>747</v>
      </c>
      <c r="J1" s="26" t="s">
        <v>748</v>
      </c>
      <c r="K1" s="26" t="s">
        <v>749</v>
      </c>
      <c r="L1" s="26" t="s">
        <v>750</v>
      </c>
      <c r="M1" s="26" t="s">
        <v>751</v>
      </c>
      <c r="N1" s="26" t="s">
        <v>752</v>
      </c>
      <c r="O1" s="26" t="s">
        <v>762</v>
      </c>
      <c r="P1" s="26" t="s">
        <v>763</v>
      </c>
      <c r="Q1" s="26" t="s">
        <v>764</v>
      </c>
      <c r="R1" s="26" t="s">
        <v>765</v>
      </c>
      <c r="S1" s="26" t="s">
        <v>766</v>
      </c>
      <c r="T1" s="26"/>
    </row>
    <row r="3" spans="1:20" x14ac:dyDescent="0.3">
      <c r="A3" t="s">
        <v>97</v>
      </c>
      <c r="B3" t="s">
        <v>39</v>
      </c>
      <c r="C3">
        <v>26</v>
      </c>
      <c r="D3" t="s">
        <v>71</v>
      </c>
      <c r="E3" t="s">
        <v>72</v>
      </c>
      <c r="G3" s="36" t="str">
        <f>IFERROR(AVERAGE(I3:U3),"")</f>
        <v/>
      </c>
      <c r="H3" s="38" t="str">
        <f>_xlfn.XLOOKUP(A3,Foglio1!A:A,Foglio1!G:G,"")</f>
        <v/>
      </c>
    </row>
    <row r="4" spans="1:20" x14ac:dyDescent="0.3">
      <c r="A4" t="s">
        <v>565</v>
      </c>
      <c r="B4" t="s">
        <v>39</v>
      </c>
      <c r="C4">
        <v>34</v>
      </c>
      <c r="D4" t="s">
        <v>71</v>
      </c>
      <c r="E4" t="s">
        <v>72</v>
      </c>
      <c r="G4" s="36" t="str">
        <f t="shared" ref="G4:G67" si="0">IFERROR(AVERAGE(I4:U4),"")</f>
        <v/>
      </c>
      <c r="H4" s="38" t="str">
        <f>_xlfn.XLOOKUP(A4,Foglio1!A:A,Foglio1!G:G,"")</f>
        <v/>
      </c>
    </row>
    <row r="5" spans="1:20" x14ac:dyDescent="0.3">
      <c r="A5" t="s">
        <v>531</v>
      </c>
      <c r="B5" t="s">
        <v>39</v>
      </c>
      <c r="C5">
        <v>23</v>
      </c>
      <c r="D5" t="s">
        <v>71</v>
      </c>
      <c r="E5" t="s">
        <v>72</v>
      </c>
      <c r="G5" s="36" t="str">
        <f t="shared" si="0"/>
        <v/>
      </c>
      <c r="H5" s="38" t="str">
        <f>_xlfn.XLOOKUP(A5,Foglio1!A:A,Foglio1!G:G,"")</f>
        <v/>
      </c>
    </row>
    <row r="6" spans="1:20" x14ac:dyDescent="0.3">
      <c r="A6" t="s">
        <v>277</v>
      </c>
      <c r="B6" t="s">
        <v>39</v>
      </c>
      <c r="C6">
        <v>18</v>
      </c>
      <c r="D6" t="s">
        <v>16</v>
      </c>
      <c r="E6" t="s">
        <v>171</v>
      </c>
      <c r="G6" s="36" t="str">
        <f t="shared" si="0"/>
        <v/>
      </c>
      <c r="H6" s="38" t="str">
        <f>_xlfn.XLOOKUP(A6,Foglio1!A:A,Foglio1!G:G,"")</f>
        <v/>
      </c>
    </row>
    <row r="7" spans="1:20" x14ac:dyDescent="0.3">
      <c r="A7" t="s">
        <v>279</v>
      </c>
      <c r="B7" t="s">
        <v>39</v>
      </c>
      <c r="C7">
        <v>26</v>
      </c>
      <c r="D7" t="s">
        <v>16</v>
      </c>
      <c r="E7" t="s">
        <v>131</v>
      </c>
      <c r="G7" s="36" t="str">
        <f t="shared" si="0"/>
        <v/>
      </c>
      <c r="H7" s="38" t="str">
        <f>_xlfn.XLOOKUP(A7,Foglio1!A:A,Foglio1!G:G,"")</f>
        <v/>
      </c>
    </row>
    <row r="8" spans="1:20" x14ac:dyDescent="0.3">
      <c r="A8" t="s">
        <v>250</v>
      </c>
      <c r="B8" t="s">
        <v>39</v>
      </c>
      <c r="C8">
        <v>23</v>
      </c>
      <c r="D8" t="s">
        <v>16</v>
      </c>
      <c r="E8" t="s">
        <v>188</v>
      </c>
      <c r="G8" s="36" t="str">
        <f t="shared" si="0"/>
        <v/>
      </c>
      <c r="H8" s="38" t="str">
        <f>_xlfn.XLOOKUP(A8,Foglio1!A:A,Foglio1!G:G,"")</f>
        <v/>
      </c>
    </row>
    <row r="9" spans="1:20" x14ac:dyDescent="0.3">
      <c r="A9" t="s">
        <v>278</v>
      </c>
      <c r="B9" t="s">
        <v>39</v>
      </c>
      <c r="C9">
        <v>27</v>
      </c>
      <c r="D9" t="s">
        <v>16</v>
      </c>
      <c r="E9" t="s">
        <v>88</v>
      </c>
      <c r="G9" s="36" t="str">
        <f t="shared" si="0"/>
        <v/>
      </c>
      <c r="H9" s="38" t="str">
        <f>_xlfn.XLOOKUP(A9,Foglio1!A:A,Foglio1!G:G,"")</f>
        <v/>
      </c>
    </row>
    <row r="10" spans="1:20" x14ac:dyDescent="0.3">
      <c r="A10" t="s">
        <v>364</v>
      </c>
      <c r="B10" t="s">
        <v>39</v>
      </c>
      <c r="C10">
        <v>33</v>
      </c>
      <c r="D10" t="s">
        <v>16</v>
      </c>
      <c r="E10" t="s">
        <v>146</v>
      </c>
      <c r="G10" s="36" t="str">
        <f t="shared" si="0"/>
        <v/>
      </c>
      <c r="H10" s="38" t="str">
        <f>_xlfn.XLOOKUP(A10,Foglio1!A:A,Foglio1!G:G,"")</f>
        <v/>
      </c>
    </row>
    <row r="11" spans="1:20" x14ac:dyDescent="0.3">
      <c r="A11" t="s">
        <v>433</v>
      </c>
      <c r="B11" t="s">
        <v>39</v>
      </c>
      <c r="C11">
        <v>25</v>
      </c>
      <c r="D11" t="s">
        <v>16</v>
      </c>
      <c r="E11" t="s">
        <v>111</v>
      </c>
      <c r="G11" s="36" t="str">
        <f t="shared" si="0"/>
        <v/>
      </c>
      <c r="H11" s="38" t="str">
        <f>_xlfn.XLOOKUP(A11,Foglio1!A:A,Foglio1!G:G,"")</f>
        <v/>
      </c>
    </row>
    <row r="12" spans="1:20" x14ac:dyDescent="0.3">
      <c r="A12" t="s">
        <v>233</v>
      </c>
      <c r="B12" t="s">
        <v>39</v>
      </c>
      <c r="C12">
        <v>24</v>
      </c>
      <c r="D12" t="s">
        <v>16</v>
      </c>
      <c r="E12" t="s">
        <v>111</v>
      </c>
      <c r="G12" s="36" t="str">
        <f t="shared" si="0"/>
        <v/>
      </c>
      <c r="H12" s="38" t="str">
        <f>_xlfn.XLOOKUP(A12,Foglio1!A:A,Foglio1!G:G,"")</f>
        <v/>
      </c>
    </row>
    <row r="13" spans="1:20" x14ac:dyDescent="0.3">
      <c r="A13" t="s">
        <v>172</v>
      </c>
      <c r="B13" t="s">
        <v>39</v>
      </c>
      <c r="C13">
        <v>23</v>
      </c>
      <c r="D13" t="s">
        <v>16</v>
      </c>
      <c r="E13" t="s">
        <v>88</v>
      </c>
      <c r="G13" s="36" t="str">
        <f t="shared" si="0"/>
        <v/>
      </c>
      <c r="H13" s="38" t="str">
        <f>_xlfn.XLOOKUP(A13,Foglio1!A:A,Foglio1!G:G,"")</f>
        <v/>
      </c>
    </row>
    <row r="14" spans="1:20" x14ac:dyDescent="0.3">
      <c r="A14" t="s">
        <v>204</v>
      </c>
      <c r="B14" t="s">
        <v>39</v>
      </c>
      <c r="C14">
        <v>34</v>
      </c>
      <c r="D14" t="s">
        <v>16</v>
      </c>
      <c r="E14" t="s">
        <v>131</v>
      </c>
      <c r="G14" s="36" t="str">
        <f t="shared" si="0"/>
        <v/>
      </c>
      <c r="H14" s="38" t="str">
        <f>_xlfn.XLOOKUP(A14,Foglio1!A:A,Foglio1!G:G,"")</f>
        <v/>
      </c>
    </row>
    <row r="15" spans="1:20" x14ac:dyDescent="0.3">
      <c r="A15" t="s">
        <v>341</v>
      </c>
      <c r="B15" t="s">
        <v>39</v>
      </c>
      <c r="C15">
        <v>35</v>
      </c>
      <c r="D15" t="s">
        <v>20</v>
      </c>
      <c r="E15" t="s">
        <v>27</v>
      </c>
      <c r="G15" s="36" t="str">
        <f t="shared" si="0"/>
        <v/>
      </c>
      <c r="H15" s="38" t="str">
        <f>_xlfn.XLOOKUP(A15,Foglio1!A:A,Foglio1!G:G,"")</f>
        <v/>
      </c>
    </row>
    <row r="16" spans="1:20" x14ac:dyDescent="0.3">
      <c r="A16" t="s">
        <v>108</v>
      </c>
      <c r="B16" t="s">
        <v>39</v>
      </c>
      <c r="C16">
        <v>27</v>
      </c>
      <c r="D16" t="s">
        <v>20</v>
      </c>
      <c r="E16" t="s">
        <v>27</v>
      </c>
      <c r="G16" s="36" t="str">
        <f t="shared" si="0"/>
        <v/>
      </c>
      <c r="H16" s="38" t="str">
        <f>_xlfn.XLOOKUP(A16,Foglio1!A:A,Foglio1!G:G,"")</f>
        <v/>
      </c>
    </row>
    <row r="17" spans="1:8" x14ac:dyDescent="0.3">
      <c r="A17" t="s">
        <v>198</v>
      </c>
      <c r="B17" t="s">
        <v>39</v>
      </c>
      <c r="C17">
        <v>26</v>
      </c>
      <c r="D17" t="s">
        <v>20</v>
      </c>
      <c r="E17" t="s">
        <v>27</v>
      </c>
      <c r="G17" s="36" t="str">
        <f t="shared" si="0"/>
        <v/>
      </c>
      <c r="H17" s="38" t="str">
        <f>_xlfn.XLOOKUP(A17,Foglio1!A:A,Foglio1!G:G,"")</f>
        <v/>
      </c>
    </row>
    <row r="18" spans="1:8" x14ac:dyDescent="0.3">
      <c r="A18" t="s">
        <v>152</v>
      </c>
      <c r="B18" t="s">
        <v>39</v>
      </c>
      <c r="C18">
        <v>31</v>
      </c>
      <c r="D18" t="s">
        <v>20</v>
      </c>
      <c r="E18" t="s">
        <v>23</v>
      </c>
      <c r="G18" s="36" t="str">
        <f t="shared" si="0"/>
        <v/>
      </c>
      <c r="H18" s="38" t="str">
        <f>_xlfn.XLOOKUP(A18,Foglio1!A:A,Foglio1!G:G,"")</f>
        <v/>
      </c>
    </row>
    <row r="19" spans="1:8" x14ac:dyDescent="0.3">
      <c r="A19" t="s">
        <v>123</v>
      </c>
      <c r="B19" t="s">
        <v>39</v>
      </c>
      <c r="C19">
        <v>24</v>
      </c>
      <c r="D19" t="s">
        <v>20</v>
      </c>
      <c r="E19" t="s">
        <v>23</v>
      </c>
      <c r="G19" s="36" t="str">
        <f t="shared" si="0"/>
        <v/>
      </c>
      <c r="H19" s="38" t="str">
        <f>_xlfn.XLOOKUP(A19,Foglio1!A:A,Foglio1!G:G,"")</f>
        <v/>
      </c>
    </row>
    <row r="20" spans="1:8" x14ac:dyDescent="0.3">
      <c r="A20" t="s">
        <v>417</v>
      </c>
      <c r="B20" t="s">
        <v>39</v>
      </c>
      <c r="C20">
        <v>23</v>
      </c>
      <c r="D20" t="s">
        <v>20</v>
      </c>
      <c r="E20" t="s">
        <v>27</v>
      </c>
      <c r="G20" s="36" t="str">
        <f t="shared" si="0"/>
        <v/>
      </c>
      <c r="H20" s="38" t="str">
        <f>_xlfn.XLOOKUP(A20,Foglio1!A:A,Foglio1!G:G,"")</f>
        <v/>
      </c>
    </row>
    <row r="21" spans="1:8" x14ac:dyDescent="0.3">
      <c r="A21" t="s">
        <v>210</v>
      </c>
      <c r="B21" t="s">
        <v>39</v>
      </c>
      <c r="C21">
        <v>24</v>
      </c>
      <c r="D21" t="s">
        <v>20</v>
      </c>
      <c r="E21" t="s">
        <v>96</v>
      </c>
      <c r="G21" s="36" t="str">
        <f t="shared" si="0"/>
        <v/>
      </c>
      <c r="H21" s="38" t="str">
        <f>_xlfn.XLOOKUP(A21,Foglio1!A:A,Foglio1!G:G,"")</f>
        <v/>
      </c>
    </row>
    <row r="22" spans="1:8" x14ac:dyDescent="0.3">
      <c r="A22" t="s">
        <v>46</v>
      </c>
      <c r="B22" t="s">
        <v>39</v>
      </c>
      <c r="C22">
        <v>25</v>
      </c>
      <c r="D22" t="s">
        <v>8</v>
      </c>
      <c r="E22" t="s">
        <v>8</v>
      </c>
      <c r="G22" s="36" t="str">
        <f t="shared" si="0"/>
        <v/>
      </c>
      <c r="H22" s="38" t="str">
        <f>_xlfn.XLOOKUP(A22,Foglio1!A:A,Foglio1!G:G,"")</f>
        <v/>
      </c>
    </row>
    <row r="23" spans="1:8" x14ac:dyDescent="0.3">
      <c r="A23" t="s">
        <v>52</v>
      </c>
      <c r="B23" t="s">
        <v>39</v>
      </c>
      <c r="C23">
        <v>26</v>
      </c>
      <c r="D23" t="s">
        <v>8</v>
      </c>
      <c r="E23" t="s">
        <v>9</v>
      </c>
      <c r="G23" s="36" t="str">
        <f t="shared" si="0"/>
        <v/>
      </c>
      <c r="H23" s="38" t="str">
        <f>_xlfn.XLOOKUP(A23,Foglio1!A:A,Foglio1!G:G,"")</f>
        <v/>
      </c>
    </row>
    <row r="24" spans="1:8" x14ac:dyDescent="0.3">
      <c r="A24" t="s">
        <v>77</v>
      </c>
      <c r="B24" t="s">
        <v>39</v>
      </c>
      <c r="C24">
        <v>26</v>
      </c>
      <c r="D24" t="s">
        <v>8</v>
      </c>
      <c r="E24" t="s">
        <v>8</v>
      </c>
      <c r="G24" s="36" t="str">
        <f t="shared" si="0"/>
        <v/>
      </c>
      <c r="H24" s="38" t="str">
        <f>_xlfn.XLOOKUP(A24,Foglio1!A:A,Foglio1!G:G,"")</f>
        <v/>
      </c>
    </row>
    <row r="25" spans="1:8" x14ac:dyDescent="0.3">
      <c r="A25" t="s">
        <v>38</v>
      </c>
      <c r="B25" t="s">
        <v>39</v>
      </c>
      <c r="C25">
        <v>27</v>
      </c>
      <c r="D25" t="s">
        <v>8</v>
      </c>
      <c r="E25" t="s">
        <v>9</v>
      </c>
      <c r="G25" s="36" t="str">
        <f t="shared" si="0"/>
        <v/>
      </c>
      <c r="H25" s="38" t="str">
        <f>_xlfn.XLOOKUP(A25,Foglio1!A:A,Foglio1!G:G,"")</f>
        <v/>
      </c>
    </row>
    <row r="26" spans="1:8" x14ac:dyDescent="0.3">
      <c r="A26" t="s">
        <v>262</v>
      </c>
      <c r="B26" t="s">
        <v>39</v>
      </c>
      <c r="C26">
        <v>24</v>
      </c>
      <c r="D26" t="s">
        <v>8</v>
      </c>
      <c r="E26" t="s">
        <v>8</v>
      </c>
      <c r="G26" s="36" t="str">
        <f t="shared" si="0"/>
        <v/>
      </c>
      <c r="H26" s="38" t="str">
        <f>_xlfn.XLOOKUP(A26,Foglio1!A:A,Foglio1!G:G,"")</f>
        <v/>
      </c>
    </row>
    <row r="27" spans="1:8" x14ac:dyDescent="0.3">
      <c r="A27" t="s">
        <v>533</v>
      </c>
      <c r="B27" t="s">
        <v>33</v>
      </c>
      <c r="C27">
        <v>19</v>
      </c>
      <c r="D27" t="s">
        <v>71</v>
      </c>
      <c r="E27" t="s">
        <v>72</v>
      </c>
      <c r="G27" s="36" t="str">
        <f t="shared" si="0"/>
        <v/>
      </c>
      <c r="H27" s="38" t="str">
        <f>_xlfn.XLOOKUP(A27,Foglio1!A:A,Foglio1!G:G,"")</f>
        <v/>
      </c>
    </row>
    <row r="28" spans="1:8" x14ac:dyDescent="0.3">
      <c r="A28" t="s">
        <v>541</v>
      </c>
      <c r="B28" t="s">
        <v>33</v>
      </c>
      <c r="C28">
        <v>19</v>
      </c>
      <c r="D28" t="s">
        <v>71</v>
      </c>
      <c r="E28" t="s">
        <v>72</v>
      </c>
      <c r="G28" s="36" t="str">
        <f t="shared" si="0"/>
        <v/>
      </c>
      <c r="H28" s="38" t="str">
        <f>_xlfn.XLOOKUP(A28,Foglio1!A:A,Foglio1!G:G,"")</f>
        <v/>
      </c>
    </row>
    <row r="29" spans="1:8" x14ac:dyDescent="0.3">
      <c r="A29" t="s">
        <v>139</v>
      </c>
      <c r="B29" t="s">
        <v>33</v>
      </c>
      <c r="C29">
        <v>35</v>
      </c>
      <c r="D29" t="s">
        <v>71</v>
      </c>
      <c r="E29" t="s">
        <v>72</v>
      </c>
      <c r="G29" s="36" t="str">
        <f t="shared" si="0"/>
        <v/>
      </c>
      <c r="H29" s="38" t="str">
        <f>_xlfn.XLOOKUP(A29,Foglio1!A:A,Foglio1!G:G,"")</f>
        <v/>
      </c>
    </row>
    <row r="30" spans="1:8" x14ac:dyDescent="0.3">
      <c r="A30" t="s">
        <v>454</v>
      </c>
      <c r="B30" t="s">
        <v>33</v>
      </c>
      <c r="C30">
        <v>24</v>
      </c>
      <c r="D30" t="s">
        <v>16</v>
      </c>
      <c r="E30" t="s">
        <v>188</v>
      </c>
      <c r="G30" s="36" t="str">
        <f t="shared" si="0"/>
        <v/>
      </c>
      <c r="H30" s="38" t="str">
        <f>_xlfn.XLOOKUP(A30,Foglio1!A:A,Foglio1!G:G,"")</f>
        <v/>
      </c>
    </row>
    <row r="31" spans="1:8" x14ac:dyDescent="0.3">
      <c r="A31" t="s">
        <v>460</v>
      </c>
      <c r="B31" t="s">
        <v>33</v>
      </c>
      <c r="C31">
        <v>28</v>
      </c>
      <c r="D31" t="s">
        <v>16</v>
      </c>
      <c r="E31" t="s">
        <v>88</v>
      </c>
      <c r="G31" s="36" t="str">
        <f t="shared" si="0"/>
        <v/>
      </c>
      <c r="H31" s="38" t="str">
        <f>_xlfn.XLOOKUP(A31,Foglio1!A:A,Foglio1!G:G,"")</f>
        <v/>
      </c>
    </row>
    <row r="32" spans="1:8" x14ac:dyDescent="0.3">
      <c r="A32" t="s">
        <v>499</v>
      </c>
      <c r="B32" t="s">
        <v>33</v>
      </c>
      <c r="C32">
        <v>38</v>
      </c>
      <c r="D32" t="s">
        <v>16</v>
      </c>
      <c r="E32" t="s">
        <v>131</v>
      </c>
      <c r="G32" s="36" t="str">
        <f t="shared" si="0"/>
        <v/>
      </c>
      <c r="H32" s="38" t="str">
        <f>_xlfn.XLOOKUP(A32,Foglio1!A:A,Foglio1!G:G,"")</f>
        <v/>
      </c>
    </row>
    <row r="33" spans="1:8" x14ac:dyDescent="0.3">
      <c r="A33" t="s">
        <v>275</v>
      </c>
      <c r="B33" t="s">
        <v>33</v>
      </c>
      <c r="C33">
        <v>27</v>
      </c>
      <c r="D33" t="s">
        <v>16</v>
      </c>
      <c r="E33" t="s">
        <v>146</v>
      </c>
      <c r="G33" s="36" t="str">
        <f t="shared" si="0"/>
        <v/>
      </c>
      <c r="H33" s="38" t="str">
        <f>_xlfn.XLOOKUP(A33,Foglio1!A:A,Foglio1!G:G,"")</f>
        <v/>
      </c>
    </row>
    <row r="34" spans="1:8" x14ac:dyDescent="0.3">
      <c r="A34" t="s">
        <v>455</v>
      </c>
      <c r="B34" t="s">
        <v>33</v>
      </c>
      <c r="C34">
        <v>21</v>
      </c>
      <c r="D34" t="s">
        <v>16</v>
      </c>
      <c r="E34" t="s">
        <v>111</v>
      </c>
      <c r="G34" s="36" t="str">
        <f t="shared" si="0"/>
        <v/>
      </c>
      <c r="H34" s="38" t="str">
        <f>_xlfn.XLOOKUP(A34,Foglio1!A:A,Foglio1!G:G,"")</f>
        <v/>
      </c>
    </row>
    <row r="35" spans="1:8" x14ac:dyDescent="0.3">
      <c r="A35" t="s">
        <v>316</v>
      </c>
      <c r="B35" t="s">
        <v>33</v>
      </c>
      <c r="C35">
        <v>26</v>
      </c>
      <c r="D35" t="s">
        <v>16</v>
      </c>
      <c r="E35" t="s">
        <v>131</v>
      </c>
      <c r="G35" s="36" t="str">
        <f t="shared" si="0"/>
        <v/>
      </c>
      <c r="H35" s="38" t="str">
        <f>_xlfn.XLOOKUP(A35,Foglio1!A:A,Foglio1!G:G,"")</f>
        <v/>
      </c>
    </row>
    <row r="36" spans="1:8" x14ac:dyDescent="0.3">
      <c r="A36" t="s">
        <v>202</v>
      </c>
      <c r="B36" t="s">
        <v>33</v>
      </c>
      <c r="C36">
        <v>26</v>
      </c>
      <c r="D36" t="s">
        <v>16</v>
      </c>
      <c r="E36" t="s">
        <v>188</v>
      </c>
      <c r="G36" s="36" t="str">
        <f t="shared" si="0"/>
        <v/>
      </c>
      <c r="H36" s="38" t="str">
        <f>_xlfn.XLOOKUP(A36,Foglio1!A:A,Foglio1!G:G,"")</f>
        <v/>
      </c>
    </row>
    <row r="37" spans="1:8" x14ac:dyDescent="0.3">
      <c r="A37" t="s">
        <v>348</v>
      </c>
      <c r="B37" t="s">
        <v>33</v>
      </c>
      <c r="C37">
        <v>23</v>
      </c>
      <c r="D37" t="s">
        <v>16</v>
      </c>
      <c r="E37" t="s">
        <v>88</v>
      </c>
      <c r="G37" s="36" t="str">
        <f t="shared" si="0"/>
        <v/>
      </c>
      <c r="H37" s="38" t="str">
        <f>_xlfn.XLOOKUP(A37,Foglio1!A:A,Foglio1!G:G,"")</f>
        <v/>
      </c>
    </row>
    <row r="38" spans="1:8" x14ac:dyDescent="0.3">
      <c r="A38" t="s">
        <v>235</v>
      </c>
      <c r="B38" t="s">
        <v>33</v>
      </c>
      <c r="C38">
        <v>27</v>
      </c>
      <c r="D38" t="s">
        <v>16</v>
      </c>
      <c r="E38" t="s">
        <v>131</v>
      </c>
      <c r="G38" s="36" t="str">
        <f t="shared" si="0"/>
        <v/>
      </c>
      <c r="H38" s="38" t="str">
        <f>_xlfn.XLOOKUP(A38,Foglio1!A:A,Foglio1!G:G,"")</f>
        <v/>
      </c>
    </row>
    <row r="39" spans="1:8" x14ac:dyDescent="0.3">
      <c r="A39" t="s">
        <v>323</v>
      </c>
      <c r="B39" t="s">
        <v>33</v>
      </c>
      <c r="C39">
        <v>21</v>
      </c>
      <c r="D39" t="s">
        <v>20</v>
      </c>
      <c r="E39" t="s">
        <v>27</v>
      </c>
      <c r="G39" s="36" t="str">
        <f t="shared" si="0"/>
        <v/>
      </c>
      <c r="H39" s="38" t="str">
        <f>_xlfn.XLOOKUP(A39,Foglio1!A:A,Foglio1!G:G,"")</f>
        <v/>
      </c>
    </row>
    <row r="40" spans="1:8" x14ac:dyDescent="0.3">
      <c r="A40" t="s">
        <v>212</v>
      </c>
      <c r="B40" t="s">
        <v>33</v>
      </c>
      <c r="C40">
        <v>32</v>
      </c>
      <c r="D40" t="s">
        <v>20</v>
      </c>
      <c r="E40" t="s">
        <v>83</v>
      </c>
      <c r="G40" s="36" t="str">
        <f t="shared" si="0"/>
        <v/>
      </c>
      <c r="H40" s="38" t="str">
        <f>_xlfn.XLOOKUP(A40,Foglio1!A:A,Foglio1!G:G,"")</f>
        <v/>
      </c>
    </row>
    <row r="41" spans="1:8" x14ac:dyDescent="0.3">
      <c r="A41" t="s">
        <v>186</v>
      </c>
      <c r="B41" t="s">
        <v>33</v>
      </c>
      <c r="C41">
        <v>26</v>
      </c>
      <c r="D41" t="s">
        <v>20</v>
      </c>
      <c r="E41" t="s">
        <v>34</v>
      </c>
      <c r="G41" s="36" t="str">
        <f t="shared" si="0"/>
        <v/>
      </c>
      <c r="H41" s="38" t="str">
        <f>_xlfn.XLOOKUP(A41,Foglio1!A:A,Foglio1!G:G,"")</f>
        <v/>
      </c>
    </row>
    <row r="42" spans="1:8" x14ac:dyDescent="0.3">
      <c r="A42" t="s">
        <v>478</v>
      </c>
      <c r="B42" t="s">
        <v>33</v>
      </c>
      <c r="C42">
        <v>25</v>
      </c>
      <c r="D42" t="s">
        <v>20</v>
      </c>
      <c r="E42" t="s">
        <v>27</v>
      </c>
      <c r="G42" s="36" t="str">
        <f t="shared" si="0"/>
        <v/>
      </c>
      <c r="H42" s="38" t="str">
        <f>_xlfn.XLOOKUP(A42,Foglio1!A:A,Foglio1!G:G,"")</f>
        <v/>
      </c>
    </row>
    <row r="43" spans="1:8" x14ac:dyDescent="0.3">
      <c r="A43" t="s">
        <v>246</v>
      </c>
      <c r="B43" t="s">
        <v>33</v>
      </c>
      <c r="C43">
        <v>27</v>
      </c>
      <c r="D43" t="s">
        <v>20</v>
      </c>
      <c r="E43" t="s">
        <v>27</v>
      </c>
      <c r="G43" s="36" t="str">
        <f t="shared" si="0"/>
        <v/>
      </c>
      <c r="H43" s="38" t="str">
        <f>_xlfn.XLOOKUP(A43,Foglio1!A:A,Foglio1!G:G,"")</f>
        <v/>
      </c>
    </row>
    <row r="44" spans="1:8" x14ac:dyDescent="0.3">
      <c r="A44" t="s">
        <v>383</v>
      </c>
      <c r="B44" t="s">
        <v>33</v>
      </c>
      <c r="C44">
        <v>28</v>
      </c>
      <c r="D44" t="s">
        <v>20</v>
      </c>
      <c r="E44" t="s">
        <v>27</v>
      </c>
      <c r="G44" s="36" t="str">
        <f t="shared" si="0"/>
        <v/>
      </c>
      <c r="H44" s="38" t="str">
        <f>_xlfn.XLOOKUP(A44,Foglio1!A:A,Foglio1!G:G,"")</f>
        <v/>
      </c>
    </row>
    <row r="45" spans="1:8" x14ac:dyDescent="0.3">
      <c r="A45" t="s">
        <v>211</v>
      </c>
      <c r="B45" t="s">
        <v>33</v>
      </c>
      <c r="C45">
        <v>27</v>
      </c>
      <c r="D45" t="s">
        <v>20</v>
      </c>
      <c r="E45" t="s">
        <v>48</v>
      </c>
      <c r="G45" s="36" t="str">
        <f t="shared" si="0"/>
        <v/>
      </c>
      <c r="H45" s="38" t="str">
        <f>_xlfn.XLOOKUP(A45,Foglio1!A:A,Foglio1!G:G,"")</f>
        <v/>
      </c>
    </row>
    <row r="46" spans="1:8" x14ac:dyDescent="0.3">
      <c r="A46" t="s">
        <v>32</v>
      </c>
      <c r="B46" t="s">
        <v>33</v>
      </c>
      <c r="C46">
        <v>29</v>
      </c>
      <c r="D46" t="s">
        <v>20</v>
      </c>
      <c r="E46" t="s">
        <v>34</v>
      </c>
      <c r="G46" s="36" t="str">
        <f t="shared" si="0"/>
        <v/>
      </c>
      <c r="H46" s="38" t="str">
        <f>_xlfn.XLOOKUP(A46,Foglio1!A:A,Foglio1!G:G,"")</f>
        <v/>
      </c>
    </row>
    <row r="47" spans="1:8" x14ac:dyDescent="0.3">
      <c r="A47" t="s">
        <v>305</v>
      </c>
      <c r="B47" t="s">
        <v>33</v>
      </c>
      <c r="C47">
        <v>27</v>
      </c>
      <c r="D47" t="s">
        <v>20</v>
      </c>
      <c r="E47" t="s">
        <v>27</v>
      </c>
      <c r="G47" s="36" t="str">
        <f t="shared" si="0"/>
        <v/>
      </c>
      <c r="H47" s="38" t="str">
        <f>_xlfn.XLOOKUP(A47,Foglio1!A:A,Foglio1!G:G,"")</f>
        <v/>
      </c>
    </row>
    <row r="48" spans="1:8" x14ac:dyDescent="0.3">
      <c r="A48" t="s">
        <v>133</v>
      </c>
      <c r="B48" t="s">
        <v>33</v>
      </c>
      <c r="C48">
        <v>23</v>
      </c>
      <c r="D48" t="s">
        <v>20</v>
      </c>
      <c r="E48" t="s">
        <v>83</v>
      </c>
      <c r="G48" s="36" t="str">
        <f t="shared" si="0"/>
        <v/>
      </c>
      <c r="H48" s="38" t="str">
        <f>_xlfn.XLOOKUP(A48,Foglio1!A:A,Foglio1!G:G,"")</f>
        <v/>
      </c>
    </row>
    <row r="49" spans="1:8" x14ac:dyDescent="0.3">
      <c r="A49" t="s">
        <v>67</v>
      </c>
      <c r="B49" t="s">
        <v>33</v>
      </c>
      <c r="C49">
        <v>29</v>
      </c>
      <c r="D49" t="s">
        <v>8</v>
      </c>
      <c r="E49" t="s">
        <v>9</v>
      </c>
      <c r="G49" s="36" t="str">
        <f t="shared" si="0"/>
        <v/>
      </c>
      <c r="H49" s="38" t="str">
        <f>_xlfn.XLOOKUP(A49,Foglio1!A:A,Foglio1!G:G,"")</f>
        <v/>
      </c>
    </row>
    <row r="50" spans="1:8" x14ac:dyDescent="0.3">
      <c r="A50" t="s">
        <v>150</v>
      </c>
      <c r="B50" t="s">
        <v>33</v>
      </c>
      <c r="C50">
        <v>25</v>
      </c>
      <c r="D50" t="s">
        <v>8</v>
      </c>
      <c r="E50" t="s">
        <v>9</v>
      </c>
      <c r="G50" s="36" t="str">
        <f t="shared" si="0"/>
        <v/>
      </c>
      <c r="H50" s="38" t="str">
        <f>_xlfn.XLOOKUP(A50,Foglio1!A:A,Foglio1!G:G,"")</f>
        <v/>
      </c>
    </row>
    <row r="51" spans="1:8" x14ac:dyDescent="0.3">
      <c r="A51" t="s">
        <v>176</v>
      </c>
      <c r="B51" t="s">
        <v>104</v>
      </c>
      <c r="C51">
        <v>25</v>
      </c>
      <c r="D51" t="s">
        <v>71</v>
      </c>
      <c r="E51" t="s">
        <v>72</v>
      </c>
      <c r="G51" s="36" t="str">
        <f t="shared" si="0"/>
        <v/>
      </c>
      <c r="H51" s="38">
        <f>_xlfn.XLOOKUP(A51,Foglio1!A:A,Foglio1!G:G,"")</f>
        <v>7.1</v>
      </c>
    </row>
    <row r="52" spans="1:8" x14ac:dyDescent="0.3">
      <c r="A52" t="s">
        <v>566</v>
      </c>
      <c r="B52" t="s">
        <v>104</v>
      </c>
      <c r="C52">
        <v>30</v>
      </c>
      <c r="D52" t="s">
        <v>71</v>
      </c>
      <c r="E52" t="s">
        <v>72</v>
      </c>
      <c r="G52" s="36" t="str">
        <f t="shared" si="0"/>
        <v/>
      </c>
      <c r="H52" s="38" t="str">
        <f>_xlfn.XLOOKUP(A52,Foglio1!A:A,Foglio1!G:G,"")</f>
        <v/>
      </c>
    </row>
    <row r="53" spans="1:8" x14ac:dyDescent="0.3">
      <c r="A53" t="s">
        <v>547</v>
      </c>
      <c r="B53" t="s">
        <v>104</v>
      </c>
      <c r="C53">
        <v>29</v>
      </c>
      <c r="D53" t="s">
        <v>71</v>
      </c>
      <c r="E53" t="s">
        <v>72</v>
      </c>
      <c r="G53" s="36" t="str">
        <f t="shared" si="0"/>
        <v/>
      </c>
      <c r="H53" s="38" t="str">
        <f>_xlfn.XLOOKUP(A53,Foglio1!A:A,Foglio1!G:G,"")</f>
        <v/>
      </c>
    </row>
    <row r="54" spans="1:8" x14ac:dyDescent="0.3">
      <c r="A54" t="s">
        <v>453</v>
      </c>
      <c r="B54" t="s">
        <v>104</v>
      </c>
      <c r="C54">
        <v>26</v>
      </c>
      <c r="D54" t="s">
        <v>16</v>
      </c>
      <c r="E54" t="s">
        <v>188</v>
      </c>
      <c r="G54" s="36" t="str">
        <f t="shared" si="0"/>
        <v/>
      </c>
      <c r="H54" s="38" t="str">
        <f>_xlfn.XLOOKUP(A54,Foglio1!A:A,Foglio1!G:G,"")</f>
        <v/>
      </c>
    </row>
    <row r="55" spans="1:8" x14ac:dyDescent="0.3">
      <c r="A55" t="s">
        <v>427</v>
      </c>
      <c r="B55" t="s">
        <v>104</v>
      </c>
      <c r="C55">
        <v>21</v>
      </c>
      <c r="D55" t="s">
        <v>16</v>
      </c>
      <c r="E55" t="s">
        <v>188</v>
      </c>
      <c r="G55" s="36" t="str">
        <f t="shared" si="0"/>
        <v/>
      </c>
      <c r="H55" s="38" t="str">
        <f>_xlfn.XLOOKUP(A55,Foglio1!A:A,Foglio1!G:G,"")</f>
        <v/>
      </c>
    </row>
    <row r="56" spans="1:8" x14ac:dyDescent="0.3">
      <c r="A56" t="s">
        <v>343</v>
      </c>
      <c r="B56" t="s">
        <v>104</v>
      </c>
      <c r="C56">
        <v>21</v>
      </c>
      <c r="D56" t="s">
        <v>16</v>
      </c>
      <c r="E56" t="s">
        <v>88</v>
      </c>
      <c r="G56" s="36" t="str">
        <f t="shared" si="0"/>
        <v/>
      </c>
      <c r="H56" s="38" t="str">
        <f>_xlfn.XLOOKUP(A56,Foglio1!A:A,Foglio1!G:G,"")</f>
        <v/>
      </c>
    </row>
    <row r="57" spans="1:8" x14ac:dyDescent="0.3">
      <c r="A57" t="s">
        <v>236</v>
      </c>
      <c r="B57" t="s">
        <v>104</v>
      </c>
      <c r="C57">
        <v>32</v>
      </c>
      <c r="D57" t="s">
        <v>16</v>
      </c>
      <c r="E57" t="s">
        <v>88</v>
      </c>
      <c r="G57" s="36" t="str">
        <f t="shared" si="0"/>
        <v/>
      </c>
      <c r="H57" s="38" t="str">
        <f>_xlfn.XLOOKUP(A57,Foglio1!A:A,Foglio1!G:G,"")</f>
        <v/>
      </c>
    </row>
    <row r="58" spans="1:8" x14ac:dyDescent="0.3">
      <c r="A58" t="s">
        <v>315</v>
      </c>
      <c r="B58" t="s">
        <v>104</v>
      </c>
      <c r="C58">
        <v>24</v>
      </c>
      <c r="D58" t="s">
        <v>16</v>
      </c>
      <c r="E58" t="s">
        <v>171</v>
      </c>
      <c r="G58" s="36" t="str">
        <f t="shared" si="0"/>
        <v/>
      </c>
      <c r="H58" s="38">
        <f>_xlfn.XLOOKUP(A58,Foglio1!A:A,Foglio1!G:G,"")</f>
        <v>7.1</v>
      </c>
    </row>
    <row r="59" spans="1:8" x14ac:dyDescent="0.3">
      <c r="A59" t="s">
        <v>390</v>
      </c>
      <c r="B59" t="s">
        <v>104</v>
      </c>
      <c r="C59">
        <v>21</v>
      </c>
      <c r="D59" t="s">
        <v>16</v>
      </c>
      <c r="E59" t="s">
        <v>146</v>
      </c>
      <c r="G59" s="36" t="str">
        <f t="shared" si="0"/>
        <v/>
      </c>
      <c r="H59" s="38">
        <f>_xlfn.XLOOKUP(A59,Foglio1!A:A,Foglio1!G:G,"")</f>
        <v>7.3</v>
      </c>
    </row>
    <row r="60" spans="1:8" x14ac:dyDescent="0.3">
      <c r="A60" t="s">
        <v>405</v>
      </c>
      <c r="B60" t="s">
        <v>104</v>
      </c>
      <c r="C60">
        <v>27</v>
      </c>
      <c r="D60" t="s">
        <v>16</v>
      </c>
      <c r="E60" t="s">
        <v>215</v>
      </c>
      <c r="G60" s="36" t="str">
        <f t="shared" si="0"/>
        <v/>
      </c>
      <c r="H60" s="38">
        <f>_xlfn.XLOOKUP(A60,Foglio1!A:A,Foglio1!G:G,"")</f>
        <v>6.6</v>
      </c>
    </row>
    <row r="61" spans="1:8" x14ac:dyDescent="0.3">
      <c r="A61" t="s">
        <v>345</v>
      </c>
      <c r="B61" t="s">
        <v>104</v>
      </c>
      <c r="C61">
        <v>29</v>
      </c>
      <c r="D61" t="s">
        <v>16</v>
      </c>
      <c r="E61" t="s">
        <v>111</v>
      </c>
      <c r="G61" s="36" t="str">
        <f t="shared" si="0"/>
        <v/>
      </c>
      <c r="H61" s="38">
        <f>_xlfn.XLOOKUP(A61,Foglio1!A:A,Foglio1!G:G,"")</f>
        <v>6.2</v>
      </c>
    </row>
    <row r="62" spans="1:8" x14ac:dyDescent="0.3">
      <c r="A62" t="s">
        <v>306</v>
      </c>
      <c r="B62" t="s">
        <v>104</v>
      </c>
      <c r="C62">
        <v>26</v>
      </c>
      <c r="D62" t="s">
        <v>20</v>
      </c>
      <c r="E62" t="s">
        <v>27</v>
      </c>
      <c r="G62" s="36" t="str">
        <f t="shared" si="0"/>
        <v/>
      </c>
      <c r="H62" s="38">
        <f>_xlfn.XLOOKUP(A62,Foglio1!A:A,Foglio1!G:G,"")</f>
        <v>7.1</v>
      </c>
    </row>
    <row r="63" spans="1:8" x14ac:dyDescent="0.3">
      <c r="A63" t="s">
        <v>421</v>
      </c>
      <c r="B63" t="s">
        <v>104</v>
      </c>
      <c r="C63">
        <v>31</v>
      </c>
      <c r="D63" t="s">
        <v>20</v>
      </c>
      <c r="E63" t="s">
        <v>27</v>
      </c>
      <c r="G63" s="36" t="str">
        <f t="shared" si="0"/>
        <v/>
      </c>
      <c r="H63" s="38">
        <f>_xlfn.XLOOKUP(A63,Foglio1!A:A,Foglio1!G:G,"")</f>
        <v>7.3</v>
      </c>
    </row>
    <row r="64" spans="1:8" x14ac:dyDescent="0.3">
      <c r="A64" t="s">
        <v>224</v>
      </c>
      <c r="B64" t="s">
        <v>104</v>
      </c>
      <c r="C64">
        <v>23</v>
      </c>
      <c r="D64" t="s">
        <v>20</v>
      </c>
      <c r="E64" t="s">
        <v>23</v>
      </c>
      <c r="G64" s="36" t="str">
        <f t="shared" si="0"/>
        <v/>
      </c>
      <c r="H64" s="38">
        <f>_xlfn.XLOOKUP(A64,Foglio1!A:A,Foglio1!G:G,"")</f>
        <v>6</v>
      </c>
    </row>
    <row r="65" spans="1:8" x14ac:dyDescent="0.3">
      <c r="A65" t="s">
        <v>379</v>
      </c>
      <c r="B65" t="s">
        <v>104</v>
      </c>
      <c r="C65">
        <v>25</v>
      </c>
      <c r="D65" t="s">
        <v>20</v>
      </c>
      <c r="E65" t="s">
        <v>96</v>
      </c>
      <c r="G65" s="36" t="str">
        <f t="shared" si="0"/>
        <v/>
      </c>
      <c r="H65" s="38">
        <f>_xlfn.XLOOKUP(A65,Foglio1!A:A,Foglio1!G:G,"")</f>
        <v>6.4</v>
      </c>
    </row>
    <row r="66" spans="1:8" x14ac:dyDescent="0.3">
      <c r="A66" t="s">
        <v>515</v>
      </c>
      <c r="B66" t="s">
        <v>104</v>
      </c>
      <c r="C66">
        <v>20</v>
      </c>
      <c r="D66" t="s">
        <v>20</v>
      </c>
      <c r="E66" t="s">
        <v>27</v>
      </c>
      <c r="G66" s="36" t="str">
        <f t="shared" si="0"/>
        <v/>
      </c>
      <c r="H66" s="38" t="str">
        <f>_xlfn.XLOOKUP(A66,Foglio1!A:A,Foglio1!G:G,"")</f>
        <v/>
      </c>
    </row>
    <row r="67" spans="1:8" x14ac:dyDescent="0.3">
      <c r="A67" t="s">
        <v>414</v>
      </c>
      <c r="B67" t="s">
        <v>104</v>
      </c>
      <c r="C67">
        <v>23</v>
      </c>
      <c r="D67" t="s">
        <v>20</v>
      </c>
      <c r="E67" t="s">
        <v>27</v>
      </c>
      <c r="G67" s="36" t="str">
        <f t="shared" si="0"/>
        <v/>
      </c>
      <c r="H67" s="38" t="str">
        <f>_xlfn.XLOOKUP(A67,Foglio1!A:A,Foglio1!G:G,"")</f>
        <v/>
      </c>
    </row>
    <row r="68" spans="1:8" x14ac:dyDescent="0.3">
      <c r="A68" t="s">
        <v>328</v>
      </c>
      <c r="B68" t="s">
        <v>104</v>
      </c>
      <c r="C68">
        <v>20</v>
      </c>
      <c r="D68" t="s">
        <v>20</v>
      </c>
      <c r="E68" t="s">
        <v>27</v>
      </c>
      <c r="G68" s="36" t="str">
        <f t="shared" ref="G68:G131" si="1">IFERROR(AVERAGE(I68:U68),"")</f>
        <v/>
      </c>
      <c r="H68" s="38">
        <f>_xlfn.XLOOKUP(A68,Foglio1!A:A,Foglio1!G:G,"")</f>
        <v>8.4</v>
      </c>
    </row>
    <row r="69" spans="1:8" x14ac:dyDescent="0.3">
      <c r="A69" t="s">
        <v>307</v>
      </c>
      <c r="B69" t="s">
        <v>104</v>
      </c>
      <c r="C69">
        <v>30</v>
      </c>
      <c r="D69" t="s">
        <v>20</v>
      </c>
      <c r="E69" t="s">
        <v>27</v>
      </c>
      <c r="G69" s="36" t="str">
        <f t="shared" si="1"/>
        <v/>
      </c>
      <c r="H69" s="38">
        <f>_xlfn.XLOOKUP(A69,Foglio1!A:A,Foglio1!G:G,"")</f>
        <v>6.8</v>
      </c>
    </row>
    <row r="70" spans="1:8" x14ac:dyDescent="0.3">
      <c r="A70" t="s">
        <v>506</v>
      </c>
      <c r="B70" t="s">
        <v>104</v>
      </c>
      <c r="C70">
        <v>21</v>
      </c>
      <c r="D70" t="s">
        <v>8</v>
      </c>
      <c r="E70" t="s">
        <v>8</v>
      </c>
      <c r="G70" s="36" t="str">
        <f t="shared" si="1"/>
        <v/>
      </c>
      <c r="H70" s="38" t="str">
        <f>_xlfn.XLOOKUP(A70,Foglio1!A:A,Foglio1!G:G,"")</f>
        <v/>
      </c>
    </row>
    <row r="71" spans="1:8" x14ac:dyDescent="0.3">
      <c r="A71" t="s">
        <v>375</v>
      </c>
      <c r="B71" t="s">
        <v>104</v>
      </c>
      <c r="C71">
        <v>26</v>
      </c>
      <c r="D71" t="s">
        <v>8</v>
      </c>
      <c r="E71" t="s">
        <v>9</v>
      </c>
      <c r="G71" s="36" t="str">
        <f t="shared" si="1"/>
        <v/>
      </c>
      <c r="H71" s="38">
        <f>_xlfn.XLOOKUP(A71,Foglio1!A:A,Foglio1!G:G,"")</f>
        <v>6.8</v>
      </c>
    </row>
    <row r="72" spans="1:8" x14ac:dyDescent="0.3">
      <c r="A72" t="s">
        <v>128</v>
      </c>
      <c r="B72" t="s">
        <v>104</v>
      </c>
      <c r="C72">
        <v>24</v>
      </c>
      <c r="D72" t="s">
        <v>8</v>
      </c>
      <c r="E72" t="s">
        <v>8</v>
      </c>
      <c r="G72" s="36" t="str">
        <f t="shared" si="1"/>
        <v/>
      </c>
      <c r="H72" s="38" t="str">
        <f>_xlfn.XLOOKUP(A72,Foglio1!A:A,Foglio1!G:G,"")</f>
        <v/>
      </c>
    </row>
    <row r="73" spans="1:8" x14ac:dyDescent="0.3">
      <c r="A73" t="s">
        <v>103</v>
      </c>
      <c r="B73" t="s">
        <v>104</v>
      </c>
      <c r="C73">
        <v>25</v>
      </c>
      <c r="D73" t="s">
        <v>8</v>
      </c>
      <c r="E73" t="s">
        <v>9</v>
      </c>
      <c r="G73" s="36" t="str">
        <f t="shared" si="1"/>
        <v/>
      </c>
      <c r="H73" s="38" t="str">
        <f>_xlfn.XLOOKUP(A73,Foglio1!A:A,Foglio1!G:G,"")</f>
        <v/>
      </c>
    </row>
    <row r="74" spans="1:8" x14ac:dyDescent="0.3">
      <c r="A74" t="s">
        <v>208</v>
      </c>
      <c r="B74" t="s">
        <v>104</v>
      </c>
      <c r="C74">
        <v>25</v>
      </c>
      <c r="D74" t="s">
        <v>8</v>
      </c>
      <c r="E74" t="s">
        <v>21</v>
      </c>
      <c r="G74" s="36" t="str">
        <f t="shared" si="1"/>
        <v/>
      </c>
      <c r="H74" s="38">
        <f>_xlfn.XLOOKUP(A74,Foglio1!A:A,Foglio1!G:G,"")</f>
        <v>6.8</v>
      </c>
    </row>
    <row r="75" spans="1:8" x14ac:dyDescent="0.3">
      <c r="A75" t="s">
        <v>369</v>
      </c>
      <c r="B75" t="s">
        <v>104</v>
      </c>
      <c r="C75">
        <v>19</v>
      </c>
      <c r="D75" t="s">
        <v>8</v>
      </c>
      <c r="E75" t="s">
        <v>9</v>
      </c>
      <c r="G75" s="36" t="str">
        <f t="shared" si="1"/>
        <v/>
      </c>
      <c r="H75" s="38">
        <f>_xlfn.XLOOKUP(A75,Foglio1!A:A,Foglio1!G:G,"")</f>
        <v>7.2</v>
      </c>
    </row>
    <row r="76" spans="1:8" x14ac:dyDescent="0.3">
      <c r="A76" t="s">
        <v>260</v>
      </c>
      <c r="B76" t="s">
        <v>104</v>
      </c>
      <c r="C76">
        <v>23</v>
      </c>
      <c r="D76" t="s">
        <v>8</v>
      </c>
      <c r="E76" t="s">
        <v>9</v>
      </c>
      <c r="G76" s="36" t="str">
        <f t="shared" si="1"/>
        <v/>
      </c>
      <c r="H76" s="38" t="str">
        <f>_xlfn.XLOOKUP(A76,Foglio1!A:A,Foglio1!G:G,"")</f>
        <v/>
      </c>
    </row>
    <row r="77" spans="1:8" x14ac:dyDescent="0.3">
      <c r="A77" t="s">
        <v>507</v>
      </c>
      <c r="B77" t="s">
        <v>104</v>
      </c>
      <c r="C77">
        <v>20</v>
      </c>
      <c r="D77" t="s">
        <v>8</v>
      </c>
      <c r="E77" t="s">
        <v>9</v>
      </c>
      <c r="G77" s="36" t="str">
        <f t="shared" si="1"/>
        <v/>
      </c>
      <c r="H77" s="38" t="str">
        <f>_xlfn.XLOOKUP(A77,Foglio1!A:A,Foglio1!G:G,"")</f>
        <v/>
      </c>
    </row>
    <row r="78" spans="1:8" x14ac:dyDescent="0.3">
      <c r="A78" t="s">
        <v>89</v>
      </c>
      <c r="B78" t="s">
        <v>19</v>
      </c>
      <c r="C78">
        <v>31</v>
      </c>
      <c r="D78" t="s">
        <v>71</v>
      </c>
      <c r="E78" t="s">
        <v>72</v>
      </c>
      <c r="G78" s="36" t="str">
        <f t="shared" si="1"/>
        <v/>
      </c>
      <c r="H78" s="38" t="str">
        <f>_xlfn.XLOOKUP(A78,Foglio1!A:A,Foglio1!G:G,"")</f>
        <v/>
      </c>
    </row>
    <row r="79" spans="1:8" x14ac:dyDescent="0.3">
      <c r="A79" t="s">
        <v>540</v>
      </c>
      <c r="B79" t="s">
        <v>19</v>
      </c>
      <c r="C79">
        <v>24</v>
      </c>
      <c r="D79" t="s">
        <v>71</v>
      </c>
      <c r="E79" t="s">
        <v>72</v>
      </c>
      <c r="G79" s="36" t="str">
        <f t="shared" si="1"/>
        <v/>
      </c>
      <c r="H79" s="38" t="str">
        <f>_xlfn.XLOOKUP(A79,Foglio1!A:A,Foglio1!G:G,"")</f>
        <v/>
      </c>
    </row>
    <row r="80" spans="1:8" x14ac:dyDescent="0.3">
      <c r="A80" t="s">
        <v>557</v>
      </c>
      <c r="B80" t="s">
        <v>19</v>
      </c>
      <c r="C80">
        <v>36</v>
      </c>
      <c r="D80" t="s">
        <v>71</v>
      </c>
      <c r="E80" t="s">
        <v>72</v>
      </c>
      <c r="G80" s="36" t="str">
        <f t="shared" si="1"/>
        <v/>
      </c>
      <c r="H80" s="38" t="str">
        <f>_xlfn.XLOOKUP(A80,Foglio1!A:A,Foglio1!G:G,"")</f>
        <v/>
      </c>
    </row>
    <row r="81" spans="1:8" x14ac:dyDescent="0.3">
      <c r="A81" t="s">
        <v>189</v>
      </c>
      <c r="B81" t="s">
        <v>19</v>
      </c>
      <c r="C81">
        <v>27</v>
      </c>
      <c r="D81" t="s">
        <v>16</v>
      </c>
      <c r="E81" t="s">
        <v>111</v>
      </c>
      <c r="G81" s="36" t="str">
        <f t="shared" si="1"/>
        <v/>
      </c>
      <c r="H81" s="38">
        <f>_xlfn.XLOOKUP(A81,Foglio1!A:A,Foglio1!G:G,"")</f>
        <v>7.4</v>
      </c>
    </row>
    <row r="82" spans="1:8" x14ac:dyDescent="0.3">
      <c r="A82" t="s">
        <v>169</v>
      </c>
      <c r="B82" t="s">
        <v>19</v>
      </c>
      <c r="C82">
        <v>24</v>
      </c>
      <c r="D82" t="s">
        <v>16</v>
      </c>
      <c r="E82" t="s">
        <v>131</v>
      </c>
      <c r="G82" s="36" t="str">
        <f t="shared" si="1"/>
        <v/>
      </c>
      <c r="H82" s="38">
        <f>_xlfn.XLOOKUP(A82,Foglio1!A:A,Foglio1!G:G,"")</f>
        <v>6.3</v>
      </c>
    </row>
    <row r="83" spans="1:8" x14ac:dyDescent="0.3">
      <c r="A83" t="s">
        <v>528</v>
      </c>
      <c r="B83" t="s">
        <v>19</v>
      </c>
      <c r="C83">
        <v>33</v>
      </c>
      <c r="D83" t="s">
        <v>16</v>
      </c>
      <c r="E83" t="s">
        <v>88</v>
      </c>
      <c r="G83" s="36" t="str">
        <f t="shared" si="1"/>
        <v/>
      </c>
      <c r="H83" s="38" t="str">
        <f>_xlfn.XLOOKUP(A83,Foglio1!A:A,Foglio1!G:G,"")</f>
        <v/>
      </c>
    </row>
    <row r="84" spans="1:8" x14ac:dyDescent="0.3">
      <c r="A84" t="s">
        <v>199</v>
      </c>
      <c r="B84" t="s">
        <v>19</v>
      </c>
      <c r="C84">
        <v>23</v>
      </c>
      <c r="D84" t="s">
        <v>16</v>
      </c>
      <c r="E84" t="s">
        <v>188</v>
      </c>
      <c r="G84" s="36" t="str">
        <f t="shared" si="1"/>
        <v/>
      </c>
      <c r="H84" s="38" t="str">
        <f>_xlfn.XLOOKUP(A84,Foglio1!A:A,Foglio1!G:G,"")</f>
        <v/>
      </c>
    </row>
    <row r="85" spans="1:8" x14ac:dyDescent="0.3">
      <c r="A85" t="s">
        <v>310</v>
      </c>
      <c r="B85" t="s">
        <v>19</v>
      </c>
      <c r="C85">
        <v>31</v>
      </c>
      <c r="D85" t="s">
        <v>16</v>
      </c>
      <c r="E85" t="s">
        <v>88</v>
      </c>
      <c r="G85" s="36" t="str">
        <f t="shared" si="1"/>
        <v/>
      </c>
      <c r="H85" s="38" t="str">
        <f>_xlfn.XLOOKUP(A85,Foglio1!A:A,Foglio1!G:G,"")</f>
        <v/>
      </c>
    </row>
    <row r="86" spans="1:8" x14ac:dyDescent="0.3">
      <c r="A86" t="s">
        <v>154</v>
      </c>
      <c r="B86" t="s">
        <v>19</v>
      </c>
      <c r="C86">
        <v>21</v>
      </c>
      <c r="D86" t="s">
        <v>16</v>
      </c>
      <c r="E86" t="s">
        <v>88</v>
      </c>
      <c r="G86" s="36" t="str">
        <f t="shared" si="1"/>
        <v/>
      </c>
      <c r="H86" s="38">
        <f>_xlfn.XLOOKUP(A86,Foglio1!A:A,Foglio1!G:G,"")</f>
        <v>6.1</v>
      </c>
    </row>
    <row r="87" spans="1:8" x14ac:dyDescent="0.3">
      <c r="A87" t="s">
        <v>393</v>
      </c>
      <c r="B87" t="s">
        <v>19</v>
      </c>
      <c r="C87">
        <v>26</v>
      </c>
      <c r="D87" t="s">
        <v>16</v>
      </c>
      <c r="E87" t="s">
        <v>131</v>
      </c>
      <c r="G87" s="36" t="str">
        <f t="shared" si="1"/>
        <v/>
      </c>
      <c r="H87" s="38" t="str">
        <f>_xlfn.XLOOKUP(A87,Foglio1!A:A,Foglio1!G:G,"")</f>
        <v/>
      </c>
    </row>
    <row r="88" spans="1:8" x14ac:dyDescent="0.3">
      <c r="A88" t="s">
        <v>252</v>
      </c>
      <c r="B88" t="s">
        <v>19</v>
      </c>
      <c r="C88">
        <v>22</v>
      </c>
      <c r="D88" t="s">
        <v>16</v>
      </c>
      <c r="E88" t="s">
        <v>188</v>
      </c>
      <c r="G88" s="36" t="str">
        <f t="shared" si="1"/>
        <v/>
      </c>
      <c r="H88" s="38">
        <f>_xlfn.XLOOKUP(A88,Foglio1!A:A,Foglio1!G:G,"")</f>
        <v>6.2</v>
      </c>
    </row>
    <row r="89" spans="1:8" x14ac:dyDescent="0.3">
      <c r="A89" t="s">
        <v>458</v>
      </c>
      <c r="B89" t="s">
        <v>19</v>
      </c>
      <c r="C89">
        <v>24</v>
      </c>
      <c r="D89" t="s">
        <v>16</v>
      </c>
      <c r="E89" t="s">
        <v>131</v>
      </c>
      <c r="G89" s="36" t="str">
        <f t="shared" si="1"/>
        <v/>
      </c>
      <c r="H89" s="38" t="str">
        <f>_xlfn.XLOOKUP(A89,Foglio1!A:A,Foglio1!G:G,"")</f>
        <v/>
      </c>
    </row>
    <row r="90" spans="1:8" x14ac:dyDescent="0.3">
      <c r="A90" t="s">
        <v>378</v>
      </c>
      <c r="B90" t="s">
        <v>19</v>
      </c>
      <c r="C90">
        <v>21</v>
      </c>
      <c r="D90" t="s">
        <v>20</v>
      </c>
      <c r="E90" t="s">
        <v>34</v>
      </c>
      <c r="G90" s="36" t="str">
        <f t="shared" si="1"/>
        <v/>
      </c>
      <c r="H90" s="38" t="str">
        <f>_xlfn.XLOOKUP(A90,Foglio1!A:A,Foglio1!G:G,"")</f>
        <v/>
      </c>
    </row>
    <row r="91" spans="1:8" x14ac:dyDescent="0.3">
      <c r="A91" t="s">
        <v>49</v>
      </c>
      <c r="B91" t="s">
        <v>19</v>
      </c>
      <c r="C91">
        <v>23</v>
      </c>
      <c r="D91" t="s">
        <v>20</v>
      </c>
      <c r="E91" t="s">
        <v>48</v>
      </c>
      <c r="G91" s="36" t="str">
        <f t="shared" si="1"/>
        <v/>
      </c>
      <c r="H91" s="38">
        <f>_xlfn.XLOOKUP(A91,Foglio1!A:A,Foglio1!G:G,"")</f>
        <v>6.6</v>
      </c>
    </row>
    <row r="92" spans="1:8" x14ac:dyDescent="0.3">
      <c r="A92" t="s">
        <v>227</v>
      </c>
      <c r="B92" t="s">
        <v>19</v>
      </c>
      <c r="C92">
        <v>26</v>
      </c>
      <c r="D92" t="s">
        <v>20</v>
      </c>
      <c r="E92" t="s">
        <v>23</v>
      </c>
      <c r="G92" s="36" t="str">
        <f t="shared" si="1"/>
        <v/>
      </c>
      <c r="H92" s="38" t="str">
        <f>_xlfn.XLOOKUP(A92,Foglio1!A:A,Foglio1!G:G,"")</f>
        <v/>
      </c>
    </row>
    <row r="93" spans="1:8" x14ac:dyDescent="0.3">
      <c r="A93" t="s">
        <v>56</v>
      </c>
      <c r="B93" t="s">
        <v>19</v>
      </c>
      <c r="C93">
        <v>25</v>
      </c>
      <c r="D93" t="s">
        <v>20</v>
      </c>
      <c r="E93" t="s">
        <v>23</v>
      </c>
      <c r="G93" s="36" t="str">
        <f t="shared" si="1"/>
        <v/>
      </c>
      <c r="H93" s="38">
        <f>_xlfn.XLOOKUP(A93,Foglio1!A:A,Foglio1!G:G,"")</f>
        <v>7.1</v>
      </c>
    </row>
    <row r="94" spans="1:8" x14ac:dyDescent="0.3">
      <c r="A94" t="s">
        <v>477</v>
      </c>
      <c r="B94" t="s">
        <v>19</v>
      </c>
      <c r="C94">
        <v>25</v>
      </c>
      <c r="D94" t="s">
        <v>20</v>
      </c>
      <c r="E94" t="s">
        <v>96</v>
      </c>
      <c r="G94" s="36" t="str">
        <f t="shared" si="1"/>
        <v/>
      </c>
      <c r="H94" s="38" t="str">
        <f>_xlfn.XLOOKUP(A94,Foglio1!A:A,Foglio1!G:G,"")</f>
        <v/>
      </c>
    </row>
    <row r="95" spans="1:8" x14ac:dyDescent="0.3">
      <c r="A95" t="s">
        <v>513</v>
      </c>
      <c r="B95" t="s">
        <v>19</v>
      </c>
      <c r="C95">
        <v>19</v>
      </c>
      <c r="D95" t="s">
        <v>20</v>
      </c>
      <c r="E95" t="s">
        <v>23</v>
      </c>
      <c r="G95" s="36" t="str">
        <f t="shared" si="1"/>
        <v/>
      </c>
      <c r="H95" s="38" t="str">
        <f>_xlfn.XLOOKUP(A95,Foglio1!A:A,Foglio1!G:G,"")</f>
        <v/>
      </c>
    </row>
    <row r="96" spans="1:8" x14ac:dyDescent="0.3">
      <c r="A96" t="s">
        <v>209</v>
      </c>
      <c r="B96" t="s">
        <v>19</v>
      </c>
      <c r="C96">
        <v>19</v>
      </c>
      <c r="D96" t="s">
        <v>20</v>
      </c>
      <c r="E96" t="s">
        <v>48</v>
      </c>
      <c r="G96" s="36" t="str">
        <f t="shared" si="1"/>
        <v/>
      </c>
      <c r="H96" s="38">
        <f>_xlfn.XLOOKUP(A96,Foglio1!A:A,Foglio1!G:G,"")</f>
        <v>6.9</v>
      </c>
    </row>
    <row r="97" spans="1:8" x14ac:dyDescent="0.3">
      <c r="A97" t="s">
        <v>290</v>
      </c>
      <c r="B97" t="s">
        <v>19</v>
      </c>
      <c r="C97">
        <v>32</v>
      </c>
      <c r="D97" t="s">
        <v>20</v>
      </c>
      <c r="E97" t="s">
        <v>27</v>
      </c>
      <c r="G97" s="36" t="str">
        <f t="shared" si="1"/>
        <v/>
      </c>
      <c r="H97" s="38">
        <f>_xlfn.XLOOKUP(A97,Foglio1!A:A,Foglio1!G:G,"")</f>
        <v>7.7</v>
      </c>
    </row>
    <row r="98" spans="1:8" x14ac:dyDescent="0.3">
      <c r="A98" t="s">
        <v>18</v>
      </c>
      <c r="B98" t="s">
        <v>19</v>
      </c>
      <c r="C98">
        <v>22</v>
      </c>
      <c r="D98" t="s">
        <v>20</v>
      </c>
      <c r="E98" t="s">
        <v>21</v>
      </c>
      <c r="G98" s="36" t="str">
        <f t="shared" si="1"/>
        <v/>
      </c>
      <c r="H98" s="38">
        <f>_xlfn.XLOOKUP(A98,Foglio1!A:A,Foglio1!G:G,"")</f>
        <v>6.5</v>
      </c>
    </row>
    <row r="99" spans="1:8" x14ac:dyDescent="0.3">
      <c r="A99" t="s">
        <v>136</v>
      </c>
      <c r="B99" t="s">
        <v>19</v>
      </c>
      <c r="C99">
        <v>23</v>
      </c>
      <c r="D99" t="s">
        <v>20</v>
      </c>
      <c r="E99" t="s">
        <v>27</v>
      </c>
      <c r="G99" s="36" t="str">
        <f t="shared" si="1"/>
        <v/>
      </c>
      <c r="H99" s="38">
        <f>_xlfn.XLOOKUP(A99,Foglio1!A:A,Foglio1!G:G,"")</f>
        <v>6.3</v>
      </c>
    </row>
    <row r="100" spans="1:8" x14ac:dyDescent="0.3">
      <c r="A100" t="s">
        <v>151</v>
      </c>
      <c r="B100" t="s">
        <v>19</v>
      </c>
      <c r="C100">
        <v>21</v>
      </c>
      <c r="D100" t="s">
        <v>20</v>
      </c>
      <c r="E100" t="s">
        <v>34</v>
      </c>
      <c r="G100" s="36" t="str">
        <f t="shared" si="1"/>
        <v/>
      </c>
      <c r="H100" s="38">
        <f>_xlfn.XLOOKUP(A100,Foglio1!A:A,Foglio1!G:G,"")</f>
        <v>5.5</v>
      </c>
    </row>
    <row r="101" spans="1:8" x14ac:dyDescent="0.3">
      <c r="A101" t="s">
        <v>509</v>
      </c>
      <c r="B101" t="s">
        <v>19</v>
      </c>
      <c r="C101">
        <v>24</v>
      </c>
      <c r="D101" t="s">
        <v>8</v>
      </c>
      <c r="E101" t="s">
        <v>9</v>
      </c>
      <c r="G101" s="36" t="str">
        <f t="shared" si="1"/>
        <v/>
      </c>
      <c r="H101" s="38" t="str">
        <f>_xlfn.XLOOKUP(A101,Foglio1!A:A,Foglio1!G:G,"")</f>
        <v/>
      </c>
    </row>
    <row r="102" spans="1:8" x14ac:dyDescent="0.3">
      <c r="A102" t="s">
        <v>98</v>
      </c>
      <c r="B102" t="s">
        <v>19</v>
      </c>
      <c r="C102">
        <v>21</v>
      </c>
      <c r="D102" t="s">
        <v>8</v>
      </c>
      <c r="E102" t="s">
        <v>34</v>
      </c>
      <c r="G102" s="36" t="str">
        <f t="shared" si="1"/>
        <v/>
      </c>
      <c r="H102" s="38">
        <f>_xlfn.XLOOKUP(A102,Foglio1!A:A,Foglio1!G:G,"")</f>
        <v>6.8</v>
      </c>
    </row>
    <row r="103" spans="1:8" x14ac:dyDescent="0.3">
      <c r="A103" t="s">
        <v>37</v>
      </c>
      <c r="B103" t="s">
        <v>19</v>
      </c>
      <c r="C103">
        <v>27</v>
      </c>
      <c r="D103" t="s">
        <v>8</v>
      </c>
      <c r="E103" t="s">
        <v>9</v>
      </c>
      <c r="G103" s="36" t="str">
        <f t="shared" si="1"/>
        <v/>
      </c>
      <c r="H103" s="38">
        <f>_xlfn.XLOOKUP(A103,Foglio1!A:A,Foglio1!G:G,"")</f>
        <v>7.6</v>
      </c>
    </row>
    <row r="104" spans="1:8" x14ac:dyDescent="0.3">
      <c r="A104" t="s">
        <v>438</v>
      </c>
      <c r="B104" t="s">
        <v>19</v>
      </c>
      <c r="C104">
        <v>26</v>
      </c>
      <c r="D104" t="s">
        <v>8</v>
      </c>
      <c r="E104" t="s">
        <v>34</v>
      </c>
      <c r="G104" s="36" t="str">
        <f t="shared" si="1"/>
        <v/>
      </c>
      <c r="H104" s="38" t="str">
        <f>_xlfn.XLOOKUP(A104,Foglio1!A:A,Foglio1!G:G,"")</f>
        <v/>
      </c>
    </row>
    <row r="105" spans="1:8" x14ac:dyDescent="0.3">
      <c r="A105" t="s">
        <v>377</v>
      </c>
      <c r="B105" t="s">
        <v>19</v>
      </c>
      <c r="C105">
        <v>34</v>
      </c>
      <c r="D105" t="s">
        <v>8</v>
      </c>
      <c r="E105" t="s">
        <v>9</v>
      </c>
      <c r="G105" s="36" t="str">
        <f t="shared" si="1"/>
        <v/>
      </c>
      <c r="H105" s="38" t="str">
        <f>_xlfn.XLOOKUP(A105,Foglio1!A:A,Foglio1!G:G,"")</f>
        <v/>
      </c>
    </row>
    <row r="106" spans="1:8" x14ac:dyDescent="0.3">
      <c r="A106" t="s">
        <v>549</v>
      </c>
      <c r="B106" t="s">
        <v>31</v>
      </c>
      <c r="C106">
        <v>27</v>
      </c>
      <c r="D106" t="s">
        <v>71</v>
      </c>
      <c r="E106" t="s">
        <v>72</v>
      </c>
      <c r="G106" s="36" t="str">
        <f t="shared" si="1"/>
        <v/>
      </c>
      <c r="H106" s="38" t="str">
        <f>_xlfn.XLOOKUP(A106,Foglio1!A:A,Foglio1!G:G,"")</f>
        <v/>
      </c>
    </row>
    <row r="107" spans="1:8" x14ac:dyDescent="0.3">
      <c r="A107" t="s">
        <v>112</v>
      </c>
      <c r="B107" t="s">
        <v>31</v>
      </c>
      <c r="C107">
        <v>36</v>
      </c>
      <c r="D107" t="s">
        <v>71</v>
      </c>
      <c r="E107" t="s">
        <v>72</v>
      </c>
      <c r="G107" s="36" t="str">
        <f t="shared" si="1"/>
        <v/>
      </c>
      <c r="H107" s="38" t="str">
        <f>_xlfn.XLOOKUP(A107,Foglio1!A:A,Foglio1!G:G,"")</f>
        <v/>
      </c>
    </row>
    <row r="108" spans="1:8" x14ac:dyDescent="0.3">
      <c r="A108" t="s">
        <v>564</v>
      </c>
      <c r="B108" t="s">
        <v>31</v>
      </c>
      <c r="C108">
        <v>31</v>
      </c>
      <c r="D108" t="s">
        <v>71</v>
      </c>
      <c r="E108" t="s">
        <v>72</v>
      </c>
      <c r="G108" s="36" t="str">
        <f t="shared" si="1"/>
        <v/>
      </c>
      <c r="H108" s="38" t="str">
        <f>_xlfn.XLOOKUP(A108,Foglio1!A:A,Foglio1!G:G,"")</f>
        <v/>
      </c>
    </row>
    <row r="109" spans="1:8" x14ac:dyDescent="0.3">
      <c r="A109" t="s">
        <v>161</v>
      </c>
      <c r="B109" t="s">
        <v>31</v>
      </c>
      <c r="C109">
        <v>28</v>
      </c>
      <c r="D109" t="s">
        <v>16</v>
      </c>
      <c r="E109" t="s">
        <v>131</v>
      </c>
      <c r="G109" s="36" t="str">
        <f t="shared" si="1"/>
        <v/>
      </c>
      <c r="H109" s="38" t="str">
        <f>_xlfn.XLOOKUP(A109,Foglio1!A:A,Foglio1!G:G,"")</f>
        <v/>
      </c>
    </row>
    <row r="110" spans="1:8" x14ac:dyDescent="0.3">
      <c r="A110" t="s">
        <v>175</v>
      </c>
      <c r="B110" t="s">
        <v>31</v>
      </c>
      <c r="C110">
        <v>24</v>
      </c>
      <c r="D110" t="s">
        <v>16</v>
      </c>
      <c r="E110" t="s">
        <v>88</v>
      </c>
      <c r="G110" s="36" t="str">
        <f t="shared" si="1"/>
        <v/>
      </c>
      <c r="H110" s="38" t="str">
        <f>_xlfn.XLOOKUP(A110,Foglio1!A:A,Foglio1!G:G,"")</f>
        <v/>
      </c>
    </row>
    <row r="111" spans="1:8" x14ac:dyDescent="0.3">
      <c r="A111" t="s">
        <v>200</v>
      </c>
      <c r="B111" t="s">
        <v>31</v>
      </c>
      <c r="C111">
        <v>21</v>
      </c>
      <c r="D111" t="s">
        <v>16</v>
      </c>
      <c r="E111" t="s">
        <v>174</v>
      </c>
      <c r="G111" s="36" t="str">
        <f t="shared" si="1"/>
        <v/>
      </c>
      <c r="H111" s="38" t="str">
        <f>_xlfn.XLOOKUP(A111,Foglio1!A:A,Foglio1!G:G,"")</f>
        <v/>
      </c>
    </row>
    <row r="112" spans="1:8" x14ac:dyDescent="0.3">
      <c r="A112" t="s">
        <v>426</v>
      </c>
      <c r="B112" t="s">
        <v>31</v>
      </c>
      <c r="C112">
        <v>26</v>
      </c>
      <c r="D112" t="s">
        <v>16</v>
      </c>
      <c r="E112" t="s">
        <v>131</v>
      </c>
      <c r="G112" s="36" t="str">
        <f t="shared" si="1"/>
        <v/>
      </c>
      <c r="H112" s="38" t="str">
        <f>_xlfn.XLOOKUP(A112,Foglio1!A:A,Foglio1!G:G,"")</f>
        <v/>
      </c>
    </row>
    <row r="113" spans="1:8" x14ac:dyDescent="0.3">
      <c r="A113" t="s">
        <v>360</v>
      </c>
      <c r="B113" t="s">
        <v>31</v>
      </c>
      <c r="C113">
        <v>26</v>
      </c>
      <c r="D113" t="s">
        <v>16</v>
      </c>
      <c r="E113" t="s">
        <v>188</v>
      </c>
      <c r="G113" s="36" t="str">
        <f t="shared" si="1"/>
        <v/>
      </c>
      <c r="H113" s="38" t="str">
        <f>_xlfn.XLOOKUP(A113,Foglio1!A:A,Foglio1!G:G,"")</f>
        <v/>
      </c>
    </row>
    <row r="114" spans="1:8" x14ac:dyDescent="0.3">
      <c r="A114" t="s">
        <v>432</v>
      </c>
      <c r="B114" t="s">
        <v>31</v>
      </c>
      <c r="C114">
        <v>29</v>
      </c>
      <c r="D114" t="s">
        <v>16</v>
      </c>
      <c r="E114" t="s">
        <v>88</v>
      </c>
      <c r="G114" s="36" t="str">
        <f t="shared" si="1"/>
        <v/>
      </c>
      <c r="H114" s="38" t="str">
        <f>_xlfn.XLOOKUP(A114,Foglio1!A:A,Foglio1!G:G,"")</f>
        <v/>
      </c>
    </row>
    <row r="115" spans="1:8" x14ac:dyDescent="0.3">
      <c r="A115" t="s">
        <v>434</v>
      </c>
      <c r="B115" t="s">
        <v>31</v>
      </c>
      <c r="C115">
        <v>27</v>
      </c>
      <c r="D115" t="s">
        <v>16</v>
      </c>
      <c r="E115" t="s">
        <v>146</v>
      </c>
      <c r="G115" s="36" t="str">
        <f t="shared" si="1"/>
        <v/>
      </c>
      <c r="H115" s="38" t="str">
        <f>_xlfn.XLOOKUP(A115,Foglio1!A:A,Foglio1!G:G,"")</f>
        <v/>
      </c>
    </row>
    <row r="116" spans="1:8" x14ac:dyDescent="0.3">
      <c r="A116" t="s">
        <v>249</v>
      </c>
      <c r="B116" t="s">
        <v>31</v>
      </c>
      <c r="C116">
        <v>20</v>
      </c>
      <c r="D116" t="s">
        <v>16</v>
      </c>
      <c r="E116" t="s">
        <v>146</v>
      </c>
      <c r="G116" s="36" t="str">
        <f t="shared" si="1"/>
        <v/>
      </c>
      <c r="H116" s="38" t="str">
        <f>_xlfn.XLOOKUP(A116,Foglio1!A:A,Foglio1!G:G,"")</f>
        <v/>
      </c>
    </row>
    <row r="117" spans="1:8" x14ac:dyDescent="0.3">
      <c r="A117" t="s">
        <v>231</v>
      </c>
      <c r="B117" t="s">
        <v>31</v>
      </c>
      <c r="C117">
        <v>21</v>
      </c>
      <c r="D117" t="s">
        <v>16</v>
      </c>
      <c r="E117" t="s">
        <v>146</v>
      </c>
      <c r="G117" s="36" t="str">
        <f t="shared" si="1"/>
        <v/>
      </c>
      <c r="H117" s="38" t="str">
        <f>_xlfn.XLOOKUP(A117,Foglio1!A:A,Foglio1!G:G,"")</f>
        <v/>
      </c>
    </row>
    <row r="118" spans="1:8" x14ac:dyDescent="0.3">
      <c r="A118" t="s">
        <v>58</v>
      </c>
      <c r="B118" t="s">
        <v>31</v>
      </c>
      <c r="C118">
        <v>23</v>
      </c>
      <c r="D118" t="s">
        <v>20</v>
      </c>
      <c r="E118" t="s">
        <v>23</v>
      </c>
      <c r="G118" s="36" t="str">
        <f t="shared" si="1"/>
        <v/>
      </c>
      <c r="H118" s="38" t="str">
        <f>_xlfn.XLOOKUP(A118,Foglio1!A:A,Foglio1!G:G,"")</f>
        <v/>
      </c>
    </row>
    <row r="119" spans="1:8" x14ac:dyDescent="0.3">
      <c r="A119" t="s">
        <v>420</v>
      </c>
      <c r="B119" t="s">
        <v>31</v>
      </c>
      <c r="C119">
        <v>26</v>
      </c>
      <c r="D119" t="s">
        <v>20</v>
      </c>
      <c r="E119" t="s">
        <v>23</v>
      </c>
      <c r="G119" s="36" t="str">
        <f t="shared" si="1"/>
        <v/>
      </c>
      <c r="H119" s="38" t="str">
        <f>_xlfn.XLOOKUP(A119,Foglio1!A:A,Foglio1!G:G,"")</f>
        <v/>
      </c>
    </row>
    <row r="120" spans="1:8" x14ac:dyDescent="0.3">
      <c r="A120" t="s">
        <v>416</v>
      </c>
      <c r="B120" t="s">
        <v>31</v>
      </c>
      <c r="C120">
        <v>23</v>
      </c>
      <c r="D120" t="s">
        <v>20</v>
      </c>
      <c r="E120" t="s">
        <v>23</v>
      </c>
      <c r="G120" s="36" t="str">
        <f t="shared" si="1"/>
        <v/>
      </c>
      <c r="H120" s="38" t="str">
        <f>_xlfn.XLOOKUP(A120,Foglio1!A:A,Foglio1!G:G,"")</f>
        <v/>
      </c>
    </row>
    <row r="121" spans="1:8" x14ac:dyDescent="0.3">
      <c r="A121" t="s">
        <v>197</v>
      </c>
      <c r="B121" t="s">
        <v>31</v>
      </c>
      <c r="C121">
        <v>25</v>
      </c>
      <c r="D121" t="s">
        <v>20</v>
      </c>
      <c r="E121" t="s">
        <v>27</v>
      </c>
      <c r="G121" s="36" t="str">
        <f t="shared" si="1"/>
        <v/>
      </c>
      <c r="H121" s="38" t="str">
        <f>_xlfn.XLOOKUP(A121,Foglio1!A:A,Foglio1!G:G,"")</f>
        <v/>
      </c>
    </row>
    <row r="122" spans="1:8" x14ac:dyDescent="0.3">
      <c r="A122" t="s">
        <v>78</v>
      </c>
      <c r="B122" t="s">
        <v>31</v>
      </c>
      <c r="C122">
        <v>29</v>
      </c>
      <c r="D122" t="s">
        <v>20</v>
      </c>
      <c r="E122" t="s">
        <v>21</v>
      </c>
      <c r="G122" s="36" t="str">
        <f t="shared" si="1"/>
        <v/>
      </c>
      <c r="H122" s="38" t="str">
        <f>_xlfn.XLOOKUP(A122,Foglio1!A:A,Foglio1!G:G,"")</f>
        <v/>
      </c>
    </row>
    <row r="123" spans="1:8" x14ac:dyDescent="0.3">
      <c r="A123" t="s">
        <v>167</v>
      </c>
      <c r="B123" t="s">
        <v>31</v>
      </c>
      <c r="C123">
        <v>29</v>
      </c>
      <c r="D123" t="s">
        <v>20</v>
      </c>
      <c r="E123" t="s">
        <v>20</v>
      </c>
      <c r="G123" s="36" t="str">
        <f t="shared" si="1"/>
        <v/>
      </c>
      <c r="H123" s="38" t="str">
        <f>_xlfn.XLOOKUP(A123,Foglio1!A:A,Foglio1!G:G,"")</f>
        <v/>
      </c>
    </row>
    <row r="124" spans="1:8" x14ac:dyDescent="0.3">
      <c r="A124" t="s">
        <v>82</v>
      </c>
      <c r="B124" t="s">
        <v>31</v>
      </c>
      <c r="C124">
        <v>19</v>
      </c>
      <c r="D124" t="s">
        <v>20</v>
      </c>
      <c r="E124" t="s">
        <v>83</v>
      </c>
      <c r="G124" s="36" t="str">
        <f t="shared" si="1"/>
        <v/>
      </c>
      <c r="H124" s="38" t="str">
        <f>_xlfn.XLOOKUP(A124,Foglio1!A:A,Foglio1!G:G,"")</f>
        <v/>
      </c>
    </row>
    <row r="125" spans="1:8" x14ac:dyDescent="0.3">
      <c r="A125" t="s">
        <v>184</v>
      </c>
      <c r="B125" t="s">
        <v>31</v>
      </c>
      <c r="C125">
        <v>22</v>
      </c>
      <c r="D125" t="s">
        <v>20</v>
      </c>
      <c r="E125" t="s">
        <v>20</v>
      </c>
      <c r="G125" s="36" t="str">
        <f t="shared" si="1"/>
        <v/>
      </c>
      <c r="H125" s="38" t="str">
        <f>_xlfn.XLOOKUP(A125,Foglio1!A:A,Foglio1!G:G,"")</f>
        <v/>
      </c>
    </row>
    <row r="126" spans="1:8" x14ac:dyDescent="0.3">
      <c r="A126" t="s">
        <v>220</v>
      </c>
      <c r="B126" t="s">
        <v>31</v>
      </c>
      <c r="C126">
        <v>20</v>
      </c>
      <c r="D126" t="s">
        <v>20</v>
      </c>
      <c r="E126" t="s">
        <v>27</v>
      </c>
      <c r="G126" s="36" t="str">
        <f t="shared" si="1"/>
        <v/>
      </c>
      <c r="H126" s="38" t="str">
        <f>_xlfn.XLOOKUP(A126,Foglio1!A:A,Foglio1!G:G,"")</f>
        <v/>
      </c>
    </row>
    <row r="127" spans="1:8" x14ac:dyDescent="0.3">
      <c r="A127" t="s">
        <v>30</v>
      </c>
      <c r="B127" t="s">
        <v>31</v>
      </c>
      <c r="C127">
        <v>26</v>
      </c>
      <c r="D127" t="s">
        <v>8</v>
      </c>
      <c r="E127" t="s">
        <v>9</v>
      </c>
      <c r="G127" s="36" t="str">
        <f t="shared" si="1"/>
        <v/>
      </c>
      <c r="H127" s="38" t="str">
        <f>_xlfn.XLOOKUP(A127,Foglio1!A:A,Foglio1!G:G,"")</f>
        <v/>
      </c>
    </row>
    <row r="128" spans="1:8" x14ac:dyDescent="0.3">
      <c r="A128" t="s">
        <v>79</v>
      </c>
      <c r="B128" t="s">
        <v>31</v>
      </c>
      <c r="C128">
        <v>25</v>
      </c>
      <c r="D128" t="s">
        <v>8</v>
      </c>
      <c r="E128" t="s">
        <v>9</v>
      </c>
      <c r="G128" s="36" t="str">
        <f t="shared" si="1"/>
        <v/>
      </c>
      <c r="H128" s="38" t="str">
        <f>_xlfn.XLOOKUP(A128,Foglio1!A:A,Foglio1!G:G,"")</f>
        <v/>
      </c>
    </row>
    <row r="129" spans="1:8" x14ac:dyDescent="0.3">
      <c r="A129" t="s">
        <v>436</v>
      </c>
      <c r="B129" t="s">
        <v>157</v>
      </c>
      <c r="C129">
        <v>23</v>
      </c>
      <c r="D129" t="s">
        <v>71</v>
      </c>
      <c r="E129" t="s">
        <v>72</v>
      </c>
      <c r="G129" s="36" t="str">
        <f t="shared" si="1"/>
        <v/>
      </c>
      <c r="H129" s="38" t="str">
        <f>_xlfn.XLOOKUP(A129,Foglio1!A:A,Foglio1!G:G,"")</f>
        <v/>
      </c>
    </row>
    <row r="130" spans="1:8" x14ac:dyDescent="0.3">
      <c r="A130" t="s">
        <v>536</v>
      </c>
      <c r="B130" t="s">
        <v>157</v>
      </c>
      <c r="C130">
        <v>22</v>
      </c>
      <c r="D130" t="s">
        <v>71</v>
      </c>
      <c r="E130" t="s">
        <v>72</v>
      </c>
      <c r="G130" s="36" t="str">
        <f t="shared" si="1"/>
        <v/>
      </c>
      <c r="H130" s="38" t="str">
        <f>_xlfn.XLOOKUP(A130,Foglio1!A:A,Foglio1!G:G,"")</f>
        <v/>
      </c>
    </row>
    <row r="131" spans="1:8" x14ac:dyDescent="0.3">
      <c r="A131" t="s">
        <v>437</v>
      </c>
      <c r="B131" t="s">
        <v>157</v>
      </c>
      <c r="C131">
        <v>22</v>
      </c>
      <c r="D131" t="s">
        <v>71</v>
      </c>
      <c r="E131" t="s">
        <v>72</v>
      </c>
      <c r="G131" s="36" t="str">
        <f t="shared" si="1"/>
        <v/>
      </c>
      <c r="H131" s="38" t="str">
        <f>_xlfn.XLOOKUP(A131,Foglio1!A:A,Foglio1!G:G,"")</f>
        <v/>
      </c>
    </row>
    <row r="132" spans="1:8" x14ac:dyDescent="0.3">
      <c r="A132" t="s">
        <v>529</v>
      </c>
      <c r="B132" t="s">
        <v>157</v>
      </c>
      <c r="C132">
        <v>35</v>
      </c>
      <c r="D132" t="s">
        <v>71</v>
      </c>
      <c r="E132" t="s">
        <v>72</v>
      </c>
      <c r="G132" s="36" t="str">
        <f t="shared" ref="G132:G195" si="2">IFERROR(AVERAGE(I132:U132),"")</f>
        <v/>
      </c>
      <c r="H132" s="38" t="str">
        <f>_xlfn.XLOOKUP(A132,Foglio1!A:A,Foglio1!G:G,"")</f>
        <v/>
      </c>
    </row>
    <row r="133" spans="1:8" x14ac:dyDescent="0.3">
      <c r="A133" t="s">
        <v>422</v>
      </c>
      <c r="B133" t="s">
        <v>157</v>
      </c>
      <c r="C133">
        <v>31</v>
      </c>
      <c r="D133" t="s">
        <v>16</v>
      </c>
      <c r="E133" t="s">
        <v>88</v>
      </c>
      <c r="G133" s="36" t="str">
        <f t="shared" si="2"/>
        <v/>
      </c>
      <c r="H133" s="38" t="str">
        <f>_xlfn.XLOOKUP(A133,Foglio1!A:A,Foglio1!G:G,"")</f>
        <v/>
      </c>
    </row>
    <row r="134" spans="1:8" x14ac:dyDescent="0.3">
      <c r="A134" t="s">
        <v>526</v>
      </c>
      <c r="B134" t="s">
        <v>157</v>
      </c>
      <c r="C134">
        <v>21</v>
      </c>
      <c r="D134" t="s">
        <v>16</v>
      </c>
      <c r="E134" t="s">
        <v>88</v>
      </c>
      <c r="G134" s="36" t="str">
        <f t="shared" si="2"/>
        <v/>
      </c>
      <c r="H134" s="38" t="str">
        <f>_xlfn.XLOOKUP(A134,Foglio1!A:A,Foglio1!G:G,"")</f>
        <v/>
      </c>
    </row>
    <row r="135" spans="1:8" x14ac:dyDescent="0.3">
      <c r="A135" t="s">
        <v>344</v>
      </c>
      <c r="B135" t="s">
        <v>157</v>
      </c>
      <c r="C135">
        <v>23</v>
      </c>
      <c r="D135" t="s">
        <v>16</v>
      </c>
      <c r="E135" t="s">
        <v>146</v>
      </c>
      <c r="G135" s="36" t="str">
        <f t="shared" si="2"/>
        <v/>
      </c>
      <c r="H135" s="38" t="str">
        <f>_xlfn.XLOOKUP(A135,Foglio1!A:A,Foglio1!G:G,"")</f>
        <v/>
      </c>
    </row>
    <row r="136" spans="1:8" x14ac:dyDescent="0.3">
      <c r="A136" t="s">
        <v>389</v>
      </c>
      <c r="B136" t="s">
        <v>157</v>
      </c>
      <c r="C136">
        <v>22</v>
      </c>
      <c r="D136" t="s">
        <v>16</v>
      </c>
      <c r="E136" t="s">
        <v>88</v>
      </c>
      <c r="G136" s="36" t="str">
        <f t="shared" si="2"/>
        <v/>
      </c>
      <c r="H136" s="38" t="str">
        <f>_xlfn.XLOOKUP(A136,Foglio1!A:A,Foglio1!G:G,"")</f>
        <v/>
      </c>
    </row>
    <row r="137" spans="1:8" x14ac:dyDescent="0.3">
      <c r="A137" t="s">
        <v>431</v>
      </c>
      <c r="B137" t="s">
        <v>157</v>
      </c>
      <c r="C137">
        <v>24</v>
      </c>
      <c r="D137" t="s">
        <v>16</v>
      </c>
      <c r="E137" t="s">
        <v>88</v>
      </c>
      <c r="G137" s="36" t="str">
        <f t="shared" si="2"/>
        <v/>
      </c>
      <c r="H137" s="38" t="str">
        <f>_xlfn.XLOOKUP(A137,Foglio1!A:A,Foglio1!G:G,"")</f>
        <v/>
      </c>
    </row>
    <row r="138" spans="1:8" x14ac:dyDescent="0.3">
      <c r="A138" t="s">
        <v>486</v>
      </c>
      <c r="B138" t="s">
        <v>157</v>
      </c>
      <c r="C138">
        <v>26</v>
      </c>
      <c r="D138" t="s">
        <v>16</v>
      </c>
      <c r="E138" t="s">
        <v>188</v>
      </c>
      <c r="G138" s="36" t="str">
        <f t="shared" si="2"/>
        <v/>
      </c>
      <c r="H138" s="38" t="str">
        <f>_xlfn.XLOOKUP(A138,Foglio1!A:A,Foglio1!G:G,"")</f>
        <v/>
      </c>
    </row>
    <row r="139" spans="1:8" x14ac:dyDescent="0.3">
      <c r="A139" t="s">
        <v>317</v>
      </c>
      <c r="B139" t="s">
        <v>157</v>
      </c>
      <c r="C139">
        <v>25</v>
      </c>
      <c r="D139" t="s">
        <v>16</v>
      </c>
      <c r="E139" t="s">
        <v>88</v>
      </c>
      <c r="G139" s="36" t="str">
        <f t="shared" si="2"/>
        <v/>
      </c>
      <c r="H139" s="38" t="str">
        <f>_xlfn.XLOOKUP(A139,Foglio1!A:A,Foglio1!G:G,"")</f>
        <v/>
      </c>
    </row>
    <row r="140" spans="1:8" x14ac:dyDescent="0.3">
      <c r="A140" t="s">
        <v>519</v>
      </c>
      <c r="B140" t="s">
        <v>157</v>
      </c>
      <c r="C140">
        <v>23</v>
      </c>
      <c r="D140" t="s">
        <v>16</v>
      </c>
      <c r="E140" t="s">
        <v>88</v>
      </c>
      <c r="G140" s="36" t="str">
        <f t="shared" si="2"/>
        <v/>
      </c>
      <c r="H140" s="38" t="str">
        <f>_xlfn.XLOOKUP(A140,Foglio1!A:A,Foglio1!G:G,"")</f>
        <v/>
      </c>
    </row>
    <row r="141" spans="1:8" x14ac:dyDescent="0.3">
      <c r="A141" t="s">
        <v>355</v>
      </c>
      <c r="B141" t="s">
        <v>157</v>
      </c>
      <c r="C141">
        <v>25</v>
      </c>
      <c r="D141" t="s">
        <v>16</v>
      </c>
      <c r="E141" t="s">
        <v>131</v>
      </c>
      <c r="G141" s="36" t="str">
        <f t="shared" si="2"/>
        <v/>
      </c>
      <c r="H141" s="38" t="str">
        <f>_xlfn.XLOOKUP(A141,Foglio1!A:A,Foglio1!G:G,"")</f>
        <v/>
      </c>
    </row>
    <row r="142" spans="1:8" x14ac:dyDescent="0.3">
      <c r="A142" t="s">
        <v>487</v>
      </c>
      <c r="B142" t="s">
        <v>157</v>
      </c>
      <c r="C142">
        <v>25</v>
      </c>
      <c r="D142" t="s">
        <v>16</v>
      </c>
      <c r="E142" t="s">
        <v>131</v>
      </c>
      <c r="G142" s="36" t="str">
        <f t="shared" si="2"/>
        <v/>
      </c>
      <c r="H142" s="38" t="str">
        <f>_xlfn.XLOOKUP(A142,Foglio1!A:A,Foglio1!G:G,"")</f>
        <v/>
      </c>
    </row>
    <row r="143" spans="1:8" x14ac:dyDescent="0.3">
      <c r="A143" t="s">
        <v>363</v>
      </c>
      <c r="B143" t="s">
        <v>157</v>
      </c>
      <c r="C143">
        <v>27</v>
      </c>
      <c r="D143" t="s">
        <v>16</v>
      </c>
      <c r="E143" t="s">
        <v>188</v>
      </c>
      <c r="G143" s="36" t="str">
        <f t="shared" si="2"/>
        <v/>
      </c>
      <c r="H143" s="38" t="str">
        <f>_xlfn.XLOOKUP(A143,Foglio1!A:A,Foglio1!G:G,"")</f>
        <v/>
      </c>
    </row>
    <row r="144" spans="1:8" x14ac:dyDescent="0.3">
      <c r="A144" t="s">
        <v>181</v>
      </c>
      <c r="B144" t="s">
        <v>157</v>
      </c>
      <c r="C144">
        <v>29</v>
      </c>
      <c r="D144" t="s">
        <v>20</v>
      </c>
      <c r="E144" t="s">
        <v>27</v>
      </c>
      <c r="G144" s="36" t="str">
        <f t="shared" si="2"/>
        <v/>
      </c>
      <c r="H144" s="38" t="str">
        <f>_xlfn.XLOOKUP(A144,Foglio1!A:A,Foglio1!G:G,"")</f>
        <v/>
      </c>
    </row>
    <row r="145" spans="1:8" x14ac:dyDescent="0.3">
      <c r="A145" t="s">
        <v>325</v>
      </c>
      <c r="B145" t="s">
        <v>157</v>
      </c>
      <c r="C145">
        <v>21</v>
      </c>
      <c r="D145" t="s">
        <v>20</v>
      </c>
      <c r="E145" t="s">
        <v>27</v>
      </c>
      <c r="G145" s="36" t="str">
        <f t="shared" si="2"/>
        <v/>
      </c>
      <c r="H145" s="38" t="str">
        <f>_xlfn.XLOOKUP(A145,Foglio1!A:A,Foglio1!G:G,"")</f>
        <v/>
      </c>
    </row>
    <row r="146" spans="1:8" x14ac:dyDescent="0.3">
      <c r="A146" t="s">
        <v>471</v>
      </c>
      <c r="B146" t="s">
        <v>157</v>
      </c>
      <c r="C146">
        <v>25</v>
      </c>
      <c r="D146" t="s">
        <v>20</v>
      </c>
      <c r="E146" t="s">
        <v>27</v>
      </c>
      <c r="G146" s="36" t="str">
        <f t="shared" si="2"/>
        <v/>
      </c>
      <c r="H146" s="38" t="str">
        <f>_xlfn.XLOOKUP(A146,Foglio1!A:A,Foglio1!G:G,"")</f>
        <v/>
      </c>
    </row>
    <row r="147" spans="1:8" x14ac:dyDescent="0.3">
      <c r="A147" t="s">
        <v>380</v>
      </c>
      <c r="B147" t="s">
        <v>157</v>
      </c>
      <c r="C147">
        <v>20</v>
      </c>
      <c r="D147" t="s">
        <v>20</v>
      </c>
      <c r="E147" t="s">
        <v>96</v>
      </c>
      <c r="G147" s="36" t="str">
        <f t="shared" si="2"/>
        <v/>
      </c>
      <c r="H147" s="38" t="str">
        <f>_xlfn.XLOOKUP(A147,Foglio1!A:A,Foglio1!G:G,"")</f>
        <v/>
      </c>
    </row>
    <row r="148" spans="1:8" x14ac:dyDescent="0.3">
      <c r="A148" t="s">
        <v>415</v>
      </c>
      <c r="B148" t="s">
        <v>157</v>
      </c>
      <c r="C148">
        <v>30</v>
      </c>
      <c r="D148" t="s">
        <v>20</v>
      </c>
      <c r="E148" t="s">
        <v>23</v>
      </c>
      <c r="G148" s="36" t="str">
        <f t="shared" si="2"/>
        <v/>
      </c>
      <c r="H148" s="38" t="str">
        <f>_xlfn.XLOOKUP(A148,Foglio1!A:A,Foglio1!G:G,"")</f>
        <v/>
      </c>
    </row>
    <row r="149" spans="1:8" x14ac:dyDescent="0.3">
      <c r="A149" t="s">
        <v>288</v>
      </c>
      <c r="B149" t="s">
        <v>157</v>
      </c>
      <c r="C149">
        <v>31</v>
      </c>
      <c r="D149" t="s">
        <v>20</v>
      </c>
      <c r="E149" t="s">
        <v>27</v>
      </c>
      <c r="G149" s="36" t="str">
        <f t="shared" si="2"/>
        <v/>
      </c>
      <c r="H149" s="38" t="str">
        <f>_xlfn.XLOOKUP(A149,Foglio1!A:A,Foglio1!G:G,"")</f>
        <v/>
      </c>
    </row>
    <row r="150" spans="1:8" x14ac:dyDescent="0.3">
      <c r="A150" t="s">
        <v>445</v>
      </c>
      <c r="B150" t="s">
        <v>157</v>
      </c>
      <c r="C150">
        <v>22</v>
      </c>
      <c r="D150" t="s">
        <v>20</v>
      </c>
      <c r="E150" t="s">
        <v>23</v>
      </c>
      <c r="G150" s="36" t="str">
        <f t="shared" si="2"/>
        <v/>
      </c>
      <c r="H150" s="38" t="str">
        <f>_xlfn.XLOOKUP(A150,Foglio1!A:A,Foglio1!G:G,"")</f>
        <v/>
      </c>
    </row>
    <row r="151" spans="1:8" x14ac:dyDescent="0.3">
      <c r="A151" t="s">
        <v>480</v>
      </c>
      <c r="B151" t="s">
        <v>157</v>
      </c>
      <c r="C151">
        <v>26</v>
      </c>
      <c r="D151" t="s">
        <v>20</v>
      </c>
      <c r="E151" t="s">
        <v>20</v>
      </c>
      <c r="G151" s="36" t="str">
        <f t="shared" si="2"/>
        <v/>
      </c>
      <c r="H151" s="38" t="str">
        <f>_xlfn.XLOOKUP(A151,Foglio1!A:A,Foglio1!G:G,"")</f>
        <v/>
      </c>
    </row>
    <row r="152" spans="1:8" x14ac:dyDescent="0.3">
      <c r="A152" t="s">
        <v>324</v>
      </c>
      <c r="B152" t="s">
        <v>157</v>
      </c>
      <c r="C152">
        <v>25</v>
      </c>
      <c r="D152" t="s">
        <v>20</v>
      </c>
      <c r="E152" t="s">
        <v>20</v>
      </c>
      <c r="G152" s="36" t="str">
        <f t="shared" si="2"/>
        <v/>
      </c>
      <c r="H152" s="38" t="str">
        <f>_xlfn.XLOOKUP(A152,Foglio1!A:A,Foglio1!G:G,"")</f>
        <v/>
      </c>
    </row>
    <row r="153" spans="1:8" x14ac:dyDescent="0.3">
      <c r="A153" t="s">
        <v>475</v>
      </c>
      <c r="B153" t="s">
        <v>157</v>
      </c>
      <c r="C153">
        <v>25</v>
      </c>
      <c r="D153" t="s">
        <v>20</v>
      </c>
      <c r="E153" t="s">
        <v>27</v>
      </c>
      <c r="G153" s="36" t="str">
        <f t="shared" si="2"/>
        <v/>
      </c>
      <c r="H153" s="38" t="str">
        <f>_xlfn.XLOOKUP(A153,Foglio1!A:A,Foglio1!G:G,"")</f>
        <v/>
      </c>
    </row>
    <row r="154" spans="1:8" x14ac:dyDescent="0.3">
      <c r="A154" t="s">
        <v>158</v>
      </c>
      <c r="B154" t="s">
        <v>157</v>
      </c>
      <c r="C154">
        <v>26</v>
      </c>
      <c r="D154" t="s">
        <v>20</v>
      </c>
      <c r="E154" t="s">
        <v>83</v>
      </c>
      <c r="G154" s="36" t="str">
        <f t="shared" si="2"/>
        <v/>
      </c>
      <c r="H154" s="38" t="str">
        <f>_xlfn.XLOOKUP(A154,Foglio1!A:A,Foglio1!G:G,"")</f>
        <v/>
      </c>
    </row>
    <row r="155" spans="1:8" x14ac:dyDescent="0.3">
      <c r="A155" t="s">
        <v>298</v>
      </c>
      <c r="B155" t="s">
        <v>157</v>
      </c>
      <c r="C155">
        <v>27</v>
      </c>
      <c r="D155" t="s">
        <v>20</v>
      </c>
      <c r="E155" t="s">
        <v>96</v>
      </c>
      <c r="G155" s="36" t="str">
        <f t="shared" si="2"/>
        <v/>
      </c>
      <c r="H155" s="38" t="str">
        <f>_xlfn.XLOOKUP(A155,Foglio1!A:A,Foglio1!G:G,"")</f>
        <v/>
      </c>
    </row>
    <row r="156" spans="1:8" x14ac:dyDescent="0.3">
      <c r="A156" t="s">
        <v>156</v>
      </c>
      <c r="B156" t="s">
        <v>157</v>
      </c>
      <c r="C156">
        <v>24</v>
      </c>
      <c r="D156" t="s">
        <v>8</v>
      </c>
      <c r="E156" t="s">
        <v>34</v>
      </c>
      <c r="G156" s="36" t="str">
        <f t="shared" si="2"/>
        <v/>
      </c>
      <c r="H156" s="38" t="str">
        <f>_xlfn.XLOOKUP(A156,Foglio1!A:A,Foglio1!G:G,"")</f>
        <v/>
      </c>
    </row>
    <row r="157" spans="1:8" x14ac:dyDescent="0.3">
      <c r="A157" t="s">
        <v>261</v>
      </c>
      <c r="B157" t="s">
        <v>157</v>
      </c>
      <c r="C157">
        <v>23</v>
      </c>
      <c r="D157" t="s">
        <v>8</v>
      </c>
      <c r="E157" t="s">
        <v>34</v>
      </c>
      <c r="G157" s="36" t="str">
        <f t="shared" si="2"/>
        <v/>
      </c>
      <c r="H157" s="38" t="str">
        <f>_xlfn.XLOOKUP(A157,Foglio1!A:A,Foglio1!G:G,"")</f>
        <v/>
      </c>
    </row>
    <row r="158" spans="1:8" x14ac:dyDescent="0.3">
      <c r="A158" t="s">
        <v>193</v>
      </c>
      <c r="B158" t="s">
        <v>157</v>
      </c>
      <c r="C158">
        <v>22</v>
      </c>
      <c r="D158" t="s">
        <v>8</v>
      </c>
      <c r="E158" t="s">
        <v>9</v>
      </c>
      <c r="G158" s="36" t="str">
        <f t="shared" si="2"/>
        <v/>
      </c>
      <c r="H158" s="38" t="str">
        <f>_xlfn.XLOOKUP(A158,Foglio1!A:A,Foglio1!G:G,"")</f>
        <v/>
      </c>
    </row>
    <row r="159" spans="1:8" x14ac:dyDescent="0.3">
      <c r="A159" t="s">
        <v>259</v>
      </c>
      <c r="B159" t="s">
        <v>74</v>
      </c>
      <c r="C159">
        <v>28</v>
      </c>
      <c r="D159" t="s">
        <v>71</v>
      </c>
      <c r="E159" t="s">
        <v>72</v>
      </c>
      <c r="G159" s="36" t="str">
        <f t="shared" si="2"/>
        <v/>
      </c>
      <c r="H159" s="38">
        <f>_xlfn.XLOOKUP(A159,Foglio1!A:A,Foglio1!G:G,"")</f>
        <v>5.8</v>
      </c>
    </row>
    <row r="160" spans="1:8" x14ac:dyDescent="0.3">
      <c r="A160" t="s">
        <v>563</v>
      </c>
      <c r="B160" t="s">
        <v>74</v>
      </c>
      <c r="C160">
        <v>29</v>
      </c>
      <c r="D160" t="s">
        <v>71</v>
      </c>
      <c r="E160" t="s">
        <v>72</v>
      </c>
      <c r="G160" s="36" t="str">
        <f t="shared" si="2"/>
        <v/>
      </c>
      <c r="H160" s="38" t="str">
        <f>_xlfn.XLOOKUP(A160,Foglio1!A:A,Foglio1!G:G,"")</f>
        <v/>
      </c>
    </row>
    <row r="161" spans="1:17" x14ac:dyDescent="0.3">
      <c r="A161" t="s">
        <v>548</v>
      </c>
      <c r="B161" t="s">
        <v>74</v>
      </c>
      <c r="C161">
        <v>25</v>
      </c>
      <c r="D161" t="s">
        <v>71</v>
      </c>
      <c r="E161" t="s">
        <v>72</v>
      </c>
      <c r="G161" s="36" t="str">
        <f t="shared" si="2"/>
        <v/>
      </c>
      <c r="H161" s="38" t="str">
        <f>_xlfn.XLOOKUP(A161,Foglio1!A:A,Foglio1!G:G,"")</f>
        <v/>
      </c>
    </row>
    <row r="162" spans="1:17" x14ac:dyDescent="0.3">
      <c r="A162" t="s">
        <v>311</v>
      </c>
      <c r="B162" t="s">
        <v>74</v>
      </c>
      <c r="C162">
        <v>24</v>
      </c>
      <c r="D162" t="s">
        <v>16</v>
      </c>
      <c r="E162" t="s">
        <v>88</v>
      </c>
      <c r="G162" s="36" t="str">
        <f t="shared" si="2"/>
        <v/>
      </c>
      <c r="H162" s="38">
        <f>_xlfn.XLOOKUP(A162,Foglio1!A:A,Foglio1!G:G,"")</f>
        <v>6.1</v>
      </c>
    </row>
    <row r="163" spans="1:17" x14ac:dyDescent="0.3">
      <c r="A163" t="s">
        <v>282</v>
      </c>
      <c r="B163" t="s">
        <v>74</v>
      </c>
      <c r="C163">
        <v>29</v>
      </c>
      <c r="D163" t="s">
        <v>16</v>
      </c>
      <c r="E163" t="s">
        <v>188</v>
      </c>
      <c r="G163" s="36" t="str">
        <f t="shared" si="2"/>
        <v/>
      </c>
      <c r="H163" s="38" t="str">
        <f>_xlfn.XLOOKUP(A163,Foglio1!A:A,Foglio1!G:G,"")</f>
        <v/>
      </c>
    </row>
    <row r="164" spans="1:17" x14ac:dyDescent="0.3">
      <c r="A164" t="s">
        <v>524</v>
      </c>
      <c r="B164" t="s">
        <v>74</v>
      </c>
      <c r="C164">
        <v>22</v>
      </c>
      <c r="D164" t="s">
        <v>16</v>
      </c>
      <c r="E164" t="s">
        <v>146</v>
      </c>
      <c r="G164" s="36" t="str">
        <f t="shared" si="2"/>
        <v/>
      </c>
      <c r="H164" s="38" t="str">
        <f>_xlfn.XLOOKUP(A164,Foglio1!A:A,Foglio1!G:G,"")</f>
        <v/>
      </c>
    </row>
    <row r="165" spans="1:17" x14ac:dyDescent="0.3">
      <c r="A165" t="s">
        <v>387</v>
      </c>
      <c r="B165" t="s">
        <v>74</v>
      </c>
      <c r="C165">
        <v>23</v>
      </c>
      <c r="D165" t="s">
        <v>16</v>
      </c>
      <c r="E165" t="s">
        <v>188</v>
      </c>
      <c r="G165" s="36" t="str">
        <f t="shared" si="2"/>
        <v/>
      </c>
      <c r="H165" s="38" t="str">
        <f>_xlfn.XLOOKUP(A165,Foglio1!A:A,Foglio1!G:G,"")</f>
        <v/>
      </c>
    </row>
    <row r="166" spans="1:17" x14ac:dyDescent="0.3">
      <c r="A166" t="s">
        <v>213</v>
      </c>
      <c r="B166" t="s">
        <v>74</v>
      </c>
      <c r="C166">
        <v>22</v>
      </c>
      <c r="D166" t="s">
        <v>16</v>
      </c>
      <c r="E166" t="s">
        <v>131</v>
      </c>
      <c r="G166" s="36" t="str">
        <f t="shared" si="2"/>
        <v/>
      </c>
      <c r="H166" s="38">
        <f>_xlfn.XLOOKUP(A166,Foglio1!A:A,Foglio1!G:G,"")</f>
        <v>6.2</v>
      </c>
    </row>
    <row r="167" spans="1:17" x14ac:dyDescent="0.3">
      <c r="A167" t="s">
        <v>129</v>
      </c>
      <c r="B167" t="s">
        <v>74</v>
      </c>
      <c r="C167">
        <v>27</v>
      </c>
      <c r="D167" t="s">
        <v>16</v>
      </c>
      <c r="E167" t="s">
        <v>88</v>
      </c>
      <c r="G167" s="36" t="str">
        <f t="shared" si="2"/>
        <v/>
      </c>
      <c r="H167" s="38">
        <f>_xlfn.XLOOKUP(A167,Foglio1!A:A,Foglio1!G:G,"")</f>
        <v>6.6</v>
      </c>
    </row>
    <row r="168" spans="1:17" x14ac:dyDescent="0.3">
      <c r="A168" t="s">
        <v>456</v>
      </c>
      <c r="B168" t="s">
        <v>74</v>
      </c>
      <c r="C168">
        <v>22</v>
      </c>
      <c r="D168" t="s">
        <v>16</v>
      </c>
      <c r="E168" t="s">
        <v>88</v>
      </c>
      <c r="G168" s="36" t="str">
        <f t="shared" si="2"/>
        <v/>
      </c>
      <c r="H168" s="38">
        <f>_xlfn.XLOOKUP(A168,Foglio1!A:A,Foglio1!G:G,"")</f>
        <v>6.1</v>
      </c>
    </row>
    <row r="169" spans="1:17" x14ac:dyDescent="0.3">
      <c r="A169" t="s">
        <v>423</v>
      </c>
      <c r="B169" t="s">
        <v>74</v>
      </c>
      <c r="C169">
        <v>21</v>
      </c>
      <c r="D169" t="s">
        <v>16</v>
      </c>
      <c r="E169" t="s">
        <v>188</v>
      </c>
      <c r="G169" s="36" t="str">
        <f t="shared" si="2"/>
        <v/>
      </c>
      <c r="H169" s="38" t="str">
        <f>_xlfn.XLOOKUP(A169,Foglio1!A:A,Foglio1!G:G,"")</f>
        <v/>
      </c>
    </row>
    <row r="170" spans="1:17" x14ac:dyDescent="0.3">
      <c r="A170" t="s">
        <v>462</v>
      </c>
      <c r="B170" t="s">
        <v>74</v>
      </c>
      <c r="C170">
        <v>33</v>
      </c>
      <c r="D170" t="s">
        <v>16</v>
      </c>
      <c r="E170" t="s">
        <v>174</v>
      </c>
      <c r="G170" s="36" t="str">
        <f t="shared" si="2"/>
        <v/>
      </c>
      <c r="H170" s="38" t="str">
        <f>_xlfn.XLOOKUP(A170,Foglio1!A:A,Foglio1!G:G,"")</f>
        <v/>
      </c>
    </row>
    <row r="171" spans="1:17" x14ac:dyDescent="0.3">
      <c r="A171" t="s">
        <v>145</v>
      </c>
      <c r="B171" t="s">
        <v>74</v>
      </c>
      <c r="C171">
        <v>28</v>
      </c>
      <c r="D171" t="s">
        <v>16</v>
      </c>
      <c r="E171" t="s">
        <v>146</v>
      </c>
      <c r="G171" s="36" t="str">
        <f t="shared" si="2"/>
        <v/>
      </c>
      <c r="H171" s="38">
        <f>_xlfn.XLOOKUP(A171,Foglio1!A:A,Foglio1!G:G,"")</f>
        <v>5.4</v>
      </c>
    </row>
    <row r="172" spans="1:17" x14ac:dyDescent="0.3">
      <c r="A172" t="s">
        <v>326</v>
      </c>
      <c r="B172" t="s">
        <v>74</v>
      </c>
      <c r="C172">
        <v>21</v>
      </c>
      <c r="D172" t="s">
        <v>20</v>
      </c>
      <c r="E172" t="s">
        <v>27</v>
      </c>
      <c r="G172" s="36" t="str">
        <f t="shared" si="2"/>
        <v/>
      </c>
      <c r="H172" s="38">
        <f>_xlfn.XLOOKUP(A172,Foglio1!A:A,Foglio1!G:G,"")</f>
        <v>6.4</v>
      </c>
    </row>
    <row r="173" spans="1:17" x14ac:dyDescent="0.3">
      <c r="A173" t="s">
        <v>159</v>
      </c>
      <c r="B173" t="s">
        <v>74</v>
      </c>
      <c r="C173">
        <v>23</v>
      </c>
      <c r="D173" t="s">
        <v>20</v>
      </c>
      <c r="E173" t="s">
        <v>48</v>
      </c>
      <c r="G173" s="36" t="str">
        <f t="shared" si="2"/>
        <v/>
      </c>
      <c r="H173" s="38">
        <f>_xlfn.XLOOKUP(A173,Foglio1!A:A,Foglio1!G:G,"")</f>
        <v>6.7</v>
      </c>
    </row>
    <row r="174" spans="1:17" x14ac:dyDescent="0.3">
      <c r="A174" t="s">
        <v>245</v>
      </c>
      <c r="B174" t="s">
        <v>74</v>
      </c>
      <c r="C174">
        <v>24</v>
      </c>
      <c r="D174" t="s">
        <v>20</v>
      </c>
      <c r="E174" t="s">
        <v>135</v>
      </c>
      <c r="G174" s="36" t="str">
        <f t="shared" si="2"/>
        <v/>
      </c>
      <c r="H174" s="38">
        <f>_xlfn.XLOOKUP(A174,Foglio1!A:A,Foglio1!G:G,"")</f>
        <v>6.2</v>
      </c>
    </row>
    <row r="175" spans="1:17" x14ac:dyDescent="0.3">
      <c r="A175" t="s">
        <v>225</v>
      </c>
      <c r="B175" t="s">
        <v>74</v>
      </c>
      <c r="C175">
        <v>25</v>
      </c>
      <c r="D175" t="s">
        <v>20</v>
      </c>
      <c r="E175" t="s">
        <v>27</v>
      </c>
      <c r="G175" s="36">
        <f t="shared" si="2"/>
        <v>6.8444444444444441</v>
      </c>
      <c r="H175" s="38">
        <f>_xlfn.XLOOKUP(A175,Foglio1!A:A,Foglio1!G:G,"")</f>
        <v>7.3</v>
      </c>
      <c r="I175" s="27">
        <v>6.6</v>
      </c>
      <c r="J175" s="27">
        <v>6.9</v>
      </c>
      <c r="K175" s="27">
        <v>6.9</v>
      </c>
      <c r="L175" s="27">
        <v>7</v>
      </c>
      <c r="M175" s="27">
        <v>6.9</v>
      </c>
      <c r="N175" s="30">
        <v>7.1</v>
      </c>
      <c r="O175" s="30">
        <v>6.9</v>
      </c>
      <c r="P175" s="30">
        <v>7</v>
      </c>
      <c r="Q175" s="30">
        <v>6.3</v>
      </c>
    </row>
    <row r="176" spans="1:17" x14ac:dyDescent="0.3">
      <c r="A176" t="s">
        <v>291</v>
      </c>
      <c r="B176" t="s">
        <v>74</v>
      </c>
      <c r="C176">
        <v>21</v>
      </c>
      <c r="D176" t="s">
        <v>20</v>
      </c>
      <c r="E176" t="s">
        <v>83</v>
      </c>
      <c r="G176" s="36" t="str">
        <f t="shared" si="2"/>
        <v/>
      </c>
      <c r="H176" s="38">
        <f>_xlfn.XLOOKUP(A176,Foglio1!A:A,Foglio1!G:G,"")</f>
        <v>6.2</v>
      </c>
    </row>
    <row r="177" spans="1:8" x14ac:dyDescent="0.3">
      <c r="A177" t="s">
        <v>419</v>
      </c>
      <c r="B177" t="s">
        <v>74</v>
      </c>
      <c r="C177">
        <v>35</v>
      </c>
      <c r="D177" t="s">
        <v>20</v>
      </c>
      <c r="E177" t="s">
        <v>83</v>
      </c>
      <c r="G177" s="36" t="str">
        <f t="shared" si="2"/>
        <v/>
      </c>
      <c r="H177" s="38">
        <f>_xlfn.XLOOKUP(A177,Foglio1!A:A,Foglio1!G:G,"")</f>
        <v>6.8</v>
      </c>
    </row>
    <row r="178" spans="1:8" x14ac:dyDescent="0.3">
      <c r="A178" t="s">
        <v>299</v>
      </c>
      <c r="B178" t="s">
        <v>74</v>
      </c>
      <c r="C178">
        <v>29</v>
      </c>
      <c r="D178" t="s">
        <v>20</v>
      </c>
      <c r="E178" t="s">
        <v>27</v>
      </c>
      <c r="G178" s="36" t="str">
        <f t="shared" si="2"/>
        <v/>
      </c>
      <c r="H178" s="38">
        <f>_xlfn.XLOOKUP(A178,Foglio1!A:A,Foglio1!G:G,"")</f>
        <v>6.5</v>
      </c>
    </row>
    <row r="179" spans="1:8" x14ac:dyDescent="0.3">
      <c r="A179" t="s">
        <v>339</v>
      </c>
      <c r="B179" t="s">
        <v>74</v>
      </c>
      <c r="C179">
        <v>26</v>
      </c>
      <c r="D179" t="s">
        <v>20</v>
      </c>
      <c r="E179" t="s">
        <v>83</v>
      </c>
      <c r="G179" s="36" t="str">
        <f t="shared" si="2"/>
        <v/>
      </c>
      <c r="H179" s="38" t="str">
        <f>_xlfn.XLOOKUP(A179,Foglio1!A:A,Foglio1!G:G,"")</f>
        <v/>
      </c>
    </row>
    <row r="180" spans="1:8" x14ac:dyDescent="0.3">
      <c r="A180" t="s">
        <v>444</v>
      </c>
      <c r="B180" t="s">
        <v>74</v>
      </c>
      <c r="C180">
        <v>20</v>
      </c>
      <c r="D180" t="s">
        <v>20</v>
      </c>
      <c r="E180" t="s">
        <v>96</v>
      </c>
      <c r="G180" s="36" t="str">
        <f t="shared" si="2"/>
        <v/>
      </c>
      <c r="H180" s="38" t="str">
        <f>_xlfn.XLOOKUP(A180,Foglio1!A:A,Foglio1!G:G,"")</f>
        <v/>
      </c>
    </row>
    <row r="181" spans="1:8" x14ac:dyDescent="0.3">
      <c r="A181" t="s">
        <v>73</v>
      </c>
      <c r="B181" t="s">
        <v>74</v>
      </c>
      <c r="C181">
        <v>24</v>
      </c>
      <c r="D181" t="s">
        <v>8</v>
      </c>
      <c r="E181" t="s">
        <v>9</v>
      </c>
      <c r="G181" s="36" t="str">
        <f t="shared" si="2"/>
        <v/>
      </c>
      <c r="H181" s="38">
        <f>_xlfn.XLOOKUP(A181,Foglio1!A:A,Foglio1!G:G,"")</f>
        <v>6</v>
      </c>
    </row>
    <row r="182" spans="1:8" x14ac:dyDescent="0.3">
      <c r="A182" t="s">
        <v>368</v>
      </c>
      <c r="B182" t="s">
        <v>74</v>
      </c>
      <c r="C182">
        <v>23</v>
      </c>
      <c r="D182" t="s">
        <v>8</v>
      </c>
      <c r="E182" t="s">
        <v>9</v>
      </c>
      <c r="G182" s="36" t="str">
        <f t="shared" si="2"/>
        <v/>
      </c>
      <c r="H182" s="38" t="str">
        <f>_xlfn.XLOOKUP(A182,Foglio1!A:A,Foglio1!G:G,"")</f>
        <v/>
      </c>
    </row>
    <row r="183" spans="1:8" x14ac:dyDescent="0.3">
      <c r="A183" t="s">
        <v>219</v>
      </c>
      <c r="B183" t="s">
        <v>74</v>
      </c>
      <c r="C183">
        <v>26</v>
      </c>
      <c r="D183" t="s">
        <v>8</v>
      </c>
      <c r="E183" t="s">
        <v>8</v>
      </c>
      <c r="G183" s="36" t="str">
        <f t="shared" si="2"/>
        <v/>
      </c>
      <c r="H183" s="38">
        <f>_xlfn.XLOOKUP(A183,Foglio1!A:A,Foglio1!G:G,"")</f>
        <v>5.3</v>
      </c>
    </row>
    <row r="184" spans="1:8" x14ac:dyDescent="0.3">
      <c r="A184" t="s">
        <v>560</v>
      </c>
      <c r="B184" t="s">
        <v>7</v>
      </c>
      <c r="C184">
        <v>33</v>
      </c>
      <c r="D184" t="s">
        <v>71</v>
      </c>
      <c r="E184" t="s">
        <v>72</v>
      </c>
      <c r="G184" s="36" t="str">
        <f t="shared" si="2"/>
        <v/>
      </c>
      <c r="H184" s="38" t="str">
        <f>_xlfn.XLOOKUP(A184,Foglio1!A:A,Foglio1!G:G,"")</f>
        <v/>
      </c>
    </row>
    <row r="185" spans="1:8" x14ac:dyDescent="0.3">
      <c r="A185" t="s">
        <v>76</v>
      </c>
      <c r="B185" t="s">
        <v>7</v>
      </c>
      <c r="C185">
        <v>28</v>
      </c>
      <c r="D185" t="s">
        <v>71</v>
      </c>
      <c r="E185" t="s">
        <v>72</v>
      </c>
      <c r="G185" s="36" t="str">
        <f t="shared" si="2"/>
        <v/>
      </c>
      <c r="H185" s="38">
        <f>_xlfn.XLOOKUP(A185,Foglio1!A:A,Foglio1!G:G,"")</f>
        <v>6.5</v>
      </c>
    </row>
    <row r="186" spans="1:8" x14ac:dyDescent="0.3">
      <c r="A186" t="s">
        <v>465</v>
      </c>
      <c r="B186" t="s">
        <v>7</v>
      </c>
      <c r="C186">
        <v>32</v>
      </c>
      <c r="D186" t="s">
        <v>71</v>
      </c>
      <c r="E186" t="s">
        <v>72</v>
      </c>
      <c r="G186" s="36" t="str">
        <f t="shared" si="2"/>
        <v/>
      </c>
      <c r="H186" s="38" t="str">
        <f>_xlfn.XLOOKUP(A186,Foglio1!A:A,Foglio1!G:G,"")</f>
        <v/>
      </c>
    </row>
    <row r="187" spans="1:8" x14ac:dyDescent="0.3">
      <c r="A187" t="s">
        <v>87</v>
      </c>
      <c r="B187" t="s">
        <v>7</v>
      </c>
      <c r="C187">
        <v>31</v>
      </c>
      <c r="D187" t="s">
        <v>16</v>
      </c>
      <c r="E187" t="s">
        <v>88</v>
      </c>
      <c r="G187" s="36" t="str">
        <f t="shared" si="2"/>
        <v/>
      </c>
      <c r="H187" s="38">
        <f>_xlfn.XLOOKUP(A187,Foglio1!A:A,Foglio1!G:G,"")</f>
        <v>7.2</v>
      </c>
    </row>
    <row r="188" spans="1:8" x14ac:dyDescent="0.3">
      <c r="A188" t="s">
        <v>118</v>
      </c>
      <c r="B188" t="s">
        <v>7</v>
      </c>
      <c r="C188">
        <v>27</v>
      </c>
      <c r="D188" t="s">
        <v>16</v>
      </c>
      <c r="E188" t="s">
        <v>88</v>
      </c>
      <c r="G188" s="36" t="str">
        <f t="shared" si="2"/>
        <v/>
      </c>
      <c r="H188" s="38">
        <f>_xlfn.XLOOKUP(A188,Foglio1!A:A,Foglio1!G:G,"")</f>
        <v>6.4</v>
      </c>
    </row>
    <row r="189" spans="1:8" x14ac:dyDescent="0.3">
      <c r="A189" t="s">
        <v>144</v>
      </c>
      <c r="B189" t="s">
        <v>7</v>
      </c>
      <c r="C189">
        <v>26</v>
      </c>
      <c r="D189" t="s">
        <v>16</v>
      </c>
      <c r="E189" t="s">
        <v>88</v>
      </c>
      <c r="G189" s="36" t="str">
        <f t="shared" si="2"/>
        <v/>
      </c>
      <c r="H189" s="38">
        <f>_xlfn.XLOOKUP(A189,Foglio1!A:A,Foglio1!G:G,"")</f>
        <v>8</v>
      </c>
    </row>
    <row r="190" spans="1:8" x14ac:dyDescent="0.3">
      <c r="A190" t="s">
        <v>170</v>
      </c>
      <c r="B190" t="s">
        <v>7</v>
      </c>
      <c r="C190">
        <v>27</v>
      </c>
      <c r="D190" t="s">
        <v>16</v>
      </c>
      <c r="E190" t="s">
        <v>171</v>
      </c>
      <c r="G190" s="36" t="str">
        <f t="shared" si="2"/>
        <v/>
      </c>
      <c r="H190" s="38" t="str">
        <f>_xlfn.XLOOKUP(A190,Foglio1!A:A,Foglio1!G:G,"")</f>
        <v/>
      </c>
    </row>
    <row r="191" spans="1:8" x14ac:dyDescent="0.3">
      <c r="A191" t="s">
        <v>15</v>
      </c>
      <c r="B191" t="s">
        <v>7</v>
      </c>
      <c r="C191">
        <v>29</v>
      </c>
      <c r="D191" t="s">
        <v>16</v>
      </c>
      <c r="E191" t="s">
        <v>17</v>
      </c>
      <c r="G191" s="36" t="str">
        <f t="shared" si="2"/>
        <v/>
      </c>
      <c r="H191" s="38">
        <f>_xlfn.XLOOKUP(A191,Foglio1!A:A,Foglio1!G:G,"")</f>
        <v>7.2</v>
      </c>
    </row>
    <row r="192" spans="1:8" x14ac:dyDescent="0.3">
      <c r="A192" t="s">
        <v>258</v>
      </c>
      <c r="B192" t="s">
        <v>7</v>
      </c>
      <c r="C192">
        <v>30</v>
      </c>
      <c r="D192" t="s">
        <v>16</v>
      </c>
      <c r="E192" t="s">
        <v>111</v>
      </c>
      <c r="G192" s="36" t="str">
        <f t="shared" si="2"/>
        <v/>
      </c>
      <c r="H192" s="38" t="str">
        <f>_xlfn.XLOOKUP(A192,Foglio1!A:A,Foglio1!G:G,"")</f>
        <v/>
      </c>
    </row>
    <row r="193" spans="1:8" x14ac:dyDescent="0.3">
      <c r="A193" t="s">
        <v>125</v>
      </c>
      <c r="B193" t="s">
        <v>7</v>
      </c>
      <c r="C193">
        <v>26</v>
      </c>
      <c r="D193" t="s">
        <v>16</v>
      </c>
      <c r="E193" t="s">
        <v>60</v>
      </c>
      <c r="G193" s="36" t="str">
        <f t="shared" si="2"/>
        <v/>
      </c>
      <c r="H193" s="38" t="str">
        <f>_xlfn.XLOOKUP(A193,Foglio1!A:A,Foglio1!G:G,"")</f>
        <v/>
      </c>
    </row>
    <row r="194" spans="1:8" x14ac:dyDescent="0.3">
      <c r="A194" t="s">
        <v>138</v>
      </c>
      <c r="B194" t="s">
        <v>7</v>
      </c>
      <c r="C194">
        <v>32</v>
      </c>
      <c r="D194" t="s">
        <v>16</v>
      </c>
      <c r="E194" t="s">
        <v>88</v>
      </c>
      <c r="G194" s="36" t="str">
        <f t="shared" si="2"/>
        <v/>
      </c>
      <c r="H194" s="38">
        <f>_xlfn.XLOOKUP(A194,Foglio1!A:A,Foglio1!G:G,"")</f>
        <v>6.3</v>
      </c>
    </row>
    <row r="195" spans="1:8" x14ac:dyDescent="0.3">
      <c r="A195" t="s">
        <v>66</v>
      </c>
      <c r="B195" t="s">
        <v>7</v>
      </c>
      <c r="C195">
        <v>29</v>
      </c>
      <c r="D195" t="s">
        <v>20</v>
      </c>
      <c r="E195" t="s">
        <v>20</v>
      </c>
      <c r="G195" s="36" t="str">
        <f t="shared" si="2"/>
        <v/>
      </c>
      <c r="H195" s="38">
        <f>_xlfn.XLOOKUP(A195,Foglio1!A:A,Foglio1!G:G,"")</f>
        <v>6.7</v>
      </c>
    </row>
    <row r="196" spans="1:8" x14ac:dyDescent="0.3">
      <c r="A196" t="s">
        <v>26</v>
      </c>
      <c r="B196" t="s">
        <v>7</v>
      </c>
      <c r="C196">
        <v>32</v>
      </c>
      <c r="D196" t="s">
        <v>20</v>
      </c>
      <c r="E196" t="s">
        <v>27</v>
      </c>
      <c r="G196" s="36" t="str">
        <f t="shared" ref="G196:G259" si="3">IFERROR(AVERAGE(I196:U196),"")</f>
        <v/>
      </c>
      <c r="H196" s="38">
        <f>_xlfn.XLOOKUP(A196,Foglio1!A:A,Foglio1!G:G,"")</f>
        <v>7.7</v>
      </c>
    </row>
    <row r="197" spans="1:8" x14ac:dyDescent="0.3">
      <c r="A197" t="s">
        <v>134</v>
      </c>
      <c r="B197" t="s">
        <v>7</v>
      </c>
      <c r="C197">
        <v>23</v>
      </c>
      <c r="D197" t="s">
        <v>20</v>
      </c>
      <c r="E197" t="s">
        <v>135</v>
      </c>
      <c r="G197" s="36" t="str">
        <f t="shared" si="3"/>
        <v/>
      </c>
      <c r="H197" s="38">
        <f>_xlfn.XLOOKUP(A197,Foglio1!A:A,Foglio1!G:G,"")</f>
        <v>8.1</v>
      </c>
    </row>
    <row r="198" spans="1:8" x14ac:dyDescent="0.3">
      <c r="A198" t="s">
        <v>304</v>
      </c>
      <c r="B198" t="s">
        <v>7</v>
      </c>
      <c r="C198">
        <v>25</v>
      </c>
      <c r="D198" t="s">
        <v>20</v>
      </c>
      <c r="E198" t="s">
        <v>17</v>
      </c>
      <c r="G198" s="36" t="str">
        <f t="shared" si="3"/>
        <v/>
      </c>
      <c r="H198" s="38">
        <f>_xlfn.XLOOKUP(A198,Foglio1!A:A,Foglio1!G:G,"")</f>
        <v>6.6</v>
      </c>
    </row>
    <row r="199" spans="1:8" x14ac:dyDescent="0.3">
      <c r="A199" t="s">
        <v>229</v>
      </c>
      <c r="B199" t="s">
        <v>7</v>
      </c>
      <c r="C199">
        <v>37</v>
      </c>
      <c r="D199" t="s">
        <v>20</v>
      </c>
      <c r="E199" t="s">
        <v>20</v>
      </c>
      <c r="G199" s="36" t="str">
        <f t="shared" si="3"/>
        <v/>
      </c>
      <c r="H199" s="38" t="str">
        <f>_xlfn.XLOOKUP(A199,Foglio1!A:A,Foglio1!G:G,"")</f>
        <v/>
      </c>
    </row>
    <row r="200" spans="1:8" x14ac:dyDescent="0.3">
      <c r="A200" t="s">
        <v>381</v>
      </c>
      <c r="B200" t="s">
        <v>7</v>
      </c>
      <c r="C200">
        <v>21</v>
      </c>
      <c r="D200" t="s">
        <v>20</v>
      </c>
      <c r="E200" t="s">
        <v>27</v>
      </c>
      <c r="G200" s="36" t="str">
        <f t="shared" si="3"/>
        <v/>
      </c>
      <c r="H200" s="38" t="str">
        <f>_xlfn.XLOOKUP(A200,Foglio1!A:A,Foglio1!G:G,"")</f>
        <v/>
      </c>
    </row>
    <row r="201" spans="1:8" x14ac:dyDescent="0.3">
      <c r="A201" t="s">
        <v>182</v>
      </c>
      <c r="B201" t="s">
        <v>7</v>
      </c>
      <c r="C201">
        <v>23</v>
      </c>
      <c r="D201" t="s">
        <v>20</v>
      </c>
      <c r="E201" t="s">
        <v>20</v>
      </c>
      <c r="G201" s="36" t="str">
        <f t="shared" si="3"/>
        <v/>
      </c>
      <c r="H201" s="38">
        <f>_xlfn.XLOOKUP(A201,Foglio1!A:A,Foglio1!G:G,"")</f>
        <v>7</v>
      </c>
    </row>
    <row r="202" spans="1:8" x14ac:dyDescent="0.3">
      <c r="A202" t="s">
        <v>124</v>
      </c>
      <c r="B202" t="s">
        <v>7</v>
      </c>
      <c r="C202">
        <v>32</v>
      </c>
      <c r="D202" t="s">
        <v>20</v>
      </c>
      <c r="E202" t="s">
        <v>20</v>
      </c>
      <c r="G202" s="36" t="str">
        <f t="shared" si="3"/>
        <v/>
      </c>
      <c r="H202" s="38">
        <f>_xlfn.XLOOKUP(A202,Foglio1!A:A,Foglio1!G:G,"")</f>
        <v>7</v>
      </c>
    </row>
    <row r="203" spans="1:8" x14ac:dyDescent="0.3">
      <c r="A203" t="s">
        <v>207</v>
      </c>
      <c r="B203" t="s">
        <v>7</v>
      </c>
      <c r="C203">
        <v>23</v>
      </c>
      <c r="D203" t="s">
        <v>8</v>
      </c>
      <c r="E203" t="s">
        <v>9</v>
      </c>
      <c r="G203" s="36" t="str">
        <f t="shared" si="3"/>
        <v/>
      </c>
      <c r="H203" s="38">
        <f>_xlfn.XLOOKUP(A203,Foglio1!A:A,Foglio1!G:G,"")</f>
        <v>6.9</v>
      </c>
    </row>
    <row r="204" spans="1:8" x14ac:dyDescent="0.3">
      <c r="A204" t="s">
        <v>53</v>
      </c>
      <c r="B204" t="s">
        <v>7</v>
      </c>
      <c r="C204">
        <v>21</v>
      </c>
      <c r="D204" t="s">
        <v>8</v>
      </c>
      <c r="E204" t="s">
        <v>9</v>
      </c>
      <c r="G204" s="36" t="str">
        <f t="shared" si="3"/>
        <v/>
      </c>
      <c r="H204" s="38">
        <f>_xlfn.XLOOKUP(A204,Foglio1!A:A,Foglio1!G:G,"")</f>
        <v>8.5</v>
      </c>
    </row>
    <row r="205" spans="1:8" x14ac:dyDescent="0.3">
      <c r="A205" t="s">
        <v>6</v>
      </c>
      <c r="B205" t="s">
        <v>7</v>
      </c>
      <c r="C205">
        <v>29</v>
      </c>
      <c r="D205" t="s">
        <v>8</v>
      </c>
      <c r="E205" t="s">
        <v>9</v>
      </c>
      <c r="G205" s="36" t="str">
        <f t="shared" si="3"/>
        <v/>
      </c>
      <c r="H205" s="38">
        <f>_xlfn.XLOOKUP(A205,Foglio1!A:A,Foglio1!G:G,"")</f>
        <v>6</v>
      </c>
    </row>
    <row r="206" spans="1:8" x14ac:dyDescent="0.3">
      <c r="A206" t="s">
        <v>12</v>
      </c>
      <c r="B206" t="s">
        <v>7</v>
      </c>
      <c r="C206">
        <v>29</v>
      </c>
      <c r="D206" t="s">
        <v>8</v>
      </c>
      <c r="E206" t="s">
        <v>9</v>
      </c>
      <c r="G206" s="36" t="str">
        <f t="shared" si="3"/>
        <v/>
      </c>
      <c r="H206" s="38" t="str">
        <f>_xlfn.XLOOKUP(A206,Foglio1!A:A,Foglio1!G:G,"")</f>
        <v/>
      </c>
    </row>
    <row r="207" spans="1:8" x14ac:dyDescent="0.3">
      <c r="A207" t="s">
        <v>408</v>
      </c>
      <c r="B207" t="s">
        <v>29</v>
      </c>
      <c r="C207">
        <v>29</v>
      </c>
      <c r="D207" t="s">
        <v>71</v>
      </c>
      <c r="E207" t="s">
        <v>72</v>
      </c>
      <c r="G207" s="36" t="str">
        <f t="shared" si="3"/>
        <v/>
      </c>
      <c r="H207" s="38" t="str">
        <f>_xlfn.XLOOKUP(A207,Foglio1!A:A,Foglio1!G:G,"")</f>
        <v/>
      </c>
    </row>
    <row r="208" spans="1:8" x14ac:dyDescent="0.3">
      <c r="A208" t="s">
        <v>466</v>
      </c>
      <c r="B208" t="s">
        <v>29</v>
      </c>
      <c r="C208">
        <v>34</v>
      </c>
      <c r="D208" t="s">
        <v>71</v>
      </c>
      <c r="E208" t="s">
        <v>72</v>
      </c>
      <c r="G208" s="36" t="str">
        <f t="shared" si="3"/>
        <v/>
      </c>
      <c r="H208" s="38" t="str">
        <f>_xlfn.XLOOKUP(A208,Foglio1!A:A,Foglio1!G:G,"")</f>
        <v/>
      </c>
    </row>
    <row r="209" spans="1:8" x14ac:dyDescent="0.3">
      <c r="A209" t="s">
        <v>559</v>
      </c>
      <c r="B209" t="s">
        <v>29</v>
      </c>
      <c r="C209">
        <v>36</v>
      </c>
      <c r="D209" t="s">
        <v>71</v>
      </c>
      <c r="E209" t="s">
        <v>72</v>
      </c>
      <c r="G209" s="36" t="str">
        <f t="shared" si="3"/>
        <v/>
      </c>
      <c r="H209" s="38" t="str">
        <f>_xlfn.XLOOKUP(A209,Foglio1!A:A,Foglio1!G:G,"")</f>
        <v/>
      </c>
    </row>
    <row r="210" spans="1:8" x14ac:dyDescent="0.3">
      <c r="A210" t="s">
        <v>90</v>
      </c>
      <c r="B210" t="s">
        <v>29</v>
      </c>
      <c r="C210">
        <v>30</v>
      </c>
      <c r="D210" t="s">
        <v>71</v>
      </c>
      <c r="E210" t="s">
        <v>72</v>
      </c>
      <c r="G210" s="36" t="str">
        <f t="shared" si="3"/>
        <v/>
      </c>
      <c r="H210" s="38" t="str">
        <f>_xlfn.XLOOKUP(A210,Foglio1!A:A,Foglio1!G:G,"")</f>
        <v/>
      </c>
    </row>
    <row r="211" spans="1:8" x14ac:dyDescent="0.3">
      <c r="A211" t="s">
        <v>100</v>
      </c>
      <c r="B211" t="s">
        <v>29</v>
      </c>
      <c r="C211">
        <v>29</v>
      </c>
      <c r="D211" t="s">
        <v>16</v>
      </c>
      <c r="E211" t="s">
        <v>88</v>
      </c>
      <c r="G211" s="36" t="str">
        <f t="shared" si="3"/>
        <v/>
      </c>
      <c r="H211" s="38" t="str">
        <f>_xlfn.XLOOKUP(A211,Foglio1!A:A,Foglio1!G:G,"")</f>
        <v/>
      </c>
    </row>
    <row r="212" spans="1:8" x14ac:dyDescent="0.3">
      <c r="A212" t="s">
        <v>495</v>
      </c>
      <c r="B212" t="s">
        <v>29</v>
      </c>
      <c r="C212">
        <v>25</v>
      </c>
      <c r="D212" t="s">
        <v>16</v>
      </c>
      <c r="E212" t="s">
        <v>171</v>
      </c>
      <c r="G212" s="36" t="str">
        <f t="shared" si="3"/>
        <v/>
      </c>
      <c r="H212" s="38" t="str">
        <f>_xlfn.XLOOKUP(A212,Foglio1!A:A,Foglio1!G:G,"")</f>
        <v/>
      </c>
    </row>
    <row r="213" spans="1:8" x14ac:dyDescent="0.3">
      <c r="A213" t="s">
        <v>173</v>
      </c>
      <c r="B213" t="s">
        <v>29</v>
      </c>
      <c r="C213">
        <v>26</v>
      </c>
      <c r="D213" t="s">
        <v>16</v>
      </c>
      <c r="E213" t="s">
        <v>174</v>
      </c>
      <c r="G213" s="36" t="str">
        <f t="shared" si="3"/>
        <v/>
      </c>
      <c r="H213" s="38" t="str">
        <f>_xlfn.XLOOKUP(A213,Foglio1!A:A,Foglio1!G:G,"")</f>
        <v/>
      </c>
    </row>
    <row r="214" spans="1:8" x14ac:dyDescent="0.3">
      <c r="A214" t="s">
        <v>318</v>
      </c>
      <c r="B214" t="s">
        <v>29</v>
      </c>
      <c r="C214">
        <v>29</v>
      </c>
      <c r="D214" t="s">
        <v>16</v>
      </c>
      <c r="E214" t="s">
        <v>215</v>
      </c>
      <c r="G214" s="36" t="str">
        <f t="shared" si="3"/>
        <v/>
      </c>
      <c r="H214" s="38" t="str">
        <f>_xlfn.XLOOKUP(A214,Foglio1!A:A,Foglio1!G:G,"")</f>
        <v/>
      </c>
    </row>
    <row r="215" spans="1:8" x14ac:dyDescent="0.3">
      <c r="A215" t="s">
        <v>398</v>
      </c>
      <c r="B215" t="s">
        <v>29</v>
      </c>
      <c r="C215">
        <v>28</v>
      </c>
      <c r="D215" t="s">
        <v>16</v>
      </c>
      <c r="E215" t="s">
        <v>88</v>
      </c>
      <c r="G215" s="36" t="str">
        <f t="shared" si="3"/>
        <v/>
      </c>
      <c r="H215" s="38" t="str">
        <f>_xlfn.XLOOKUP(A215,Foglio1!A:A,Foglio1!G:G,"")</f>
        <v/>
      </c>
    </row>
    <row r="216" spans="1:8" x14ac:dyDescent="0.3">
      <c r="A216" t="s">
        <v>110</v>
      </c>
      <c r="B216" t="s">
        <v>29</v>
      </c>
      <c r="C216">
        <v>26</v>
      </c>
      <c r="D216" t="s">
        <v>16</v>
      </c>
      <c r="E216" t="s">
        <v>111</v>
      </c>
      <c r="G216" s="36" t="str">
        <f t="shared" si="3"/>
        <v/>
      </c>
      <c r="H216" s="38" t="str">
        <f>_xlfn.XLOOKUP(A216,Foglio1!A:A,Foglio1!G:G,"")</f>
        <v/>
      </c>
    </row>
    <row r="217" spans="1:8" x14ac:dyDescent="0.3">
      <c r="A217" t="s">
        <v>395</v>
      </c>
      <c r="B217" t="s">
        <v>29</v>
      </c>
      <c r="C217">
        <v>28</v>
      </c>
      <c r="D217" t="s">
        <v>16</v>
      </c>
      <c r="E217" t="s">
        <v>146</v>
      </c>
      <c r="G217" s="36" t="str">
        <f t="shared" si="3"/>
        <v/>
      </c>
      <c r="H217" s="38" t="str">
        <f>_xlfn.XLOOKUP(A217,Foglio1!A:A,Foglio1!G:G,"")</f>
        <v/>
      </c>
    </row>
    <row r="218" spans="1:8" x14ac:dyDescent="0.3">
      <c r="A218" t="s">
        <v>255</v>
      </c>
      <c r="B218" t="s">
        <v>29</v>
      </c>
      <c r="C218">
        <v>28</v>
      </c>
      <c r="D218" t="s">
        <v>16</v>
      </c>
      <c r="E218" t="s">
        <v>88</v>
      </c>
      <c r="G218" s="36" t="str">
        <f t="shared" si="3"/>
        <v/>
      </c>
      <c r="H218" s="38" t="str">
        <f>_xlfn.XLOOKUP(A218,Foglio1!A:A,Foglio1!G:G,"")</f>
        <v/>
      </c>
    </row>
    <row r="219" spans="1:8" x14ac:dyDescent="0.3">
      <c r="A219" t="s">
        <v>501</v>
      </c>
      <c r="B219" t="s">
        <v>29</v>
      </c>
      <c r="C219">
        <v>32</v>
      </c>
      <c r="D219" t="s">
        <v>16</v>
      </c>
      <c r="E219" t="s">
        <v>88</v>
      </c>
      <c r="G219" s="36" t="str">
        <f t="shared" si="3"/>
        <v/>
      </c>
      <c r="H219" s="38" t="str">
        <f>_xlfn.XLOOKUP(A219,Foglio1!A:A,Foglio1!G:G,"")</f>
        <v/>
      </c>
    </row>
    <row r="220" spans="1:8" x14ac:dyDescent="0.3">
      <c r="A220" t="s">
        <v>85</v>
      </c>
      <c r="B220" t="s">
        <v>29</v>
      </c>
      <c r="C220">
        <v>19</v>
      </c>
      <c r="D220" t="s">
        <v>20</v>
      </c>
      <c r="E220" t="s">
        <v>83</v>
      </c>
      <c r="G220" s="36" t="str">
        <f t="shared" si="3"/>
        <v/>
      </c>
      <c r="H220" s="38" t="str">
        <f>_xlfn.XLOOKUP(A220,Foglio1!A:A,Foglio1!G:G,"")</f>
        <v/>
      </c>
    </row>
    <row r="221" spans="1:8" x14ac:dyDescent="0.3">
      <c r="A221" t="s">
        <v>80</v>
      </c>
      <c r="B221" t="s">
        <v>29</v>
      </c>
      <c r="C221">
        <v>24</v>
      </c>
      <c r="D221" t="s">
        <v>20</v>
      </c>
      <c r="E221" t="s">
        <v>34</v>
      </c>
      <c r="G221" s="36" t="str">
        <f t="shared" si="3"/>
        <v/>
      </c>
      <c r="H221" s="38" t="str">
        <f>_xlfn.XLOOKUP(A221,Foglio1!A:A,Foglio1!G:G,"")</f>
        <v/>
      </c>
    </row>
    <row r="222" spans="1:8" x14ac:dyDescent="0.3">
      <c r="A222" t="s">
        <v>336</v>
      </c>
      <c r="B222" t="s">
        <v>29</v>
      </c>
      <c r="C222">
        <v>28</v>
      </c>
      <c r="D222" t="s">
        <v>20</v>
      </c>
      <c r="E222" t="s">
        <v>20</v>
      </c>
      <c r="G222" s="36" t="str">
        <f t="shared" si="3"/>
        <v/>
      </c>
      <c r="H222" s="38" t="str">
        <f>_xlfn.XLOOKUP(A222,Foglio1!A:A,Foglio1!G:G,"")</f>
        <v/>
      </c>
    </row>
    <row r="223" spans="1:8" x14ac:dyDescent="0.3">
      <c r="A223" t="s">
        <v>300</v>
      </c>
      <c r="B223" t="s">
        <v>29</v>
      </c>
      <c r="C223">
        <v>28</v>
      </c>
      <c r="D223" t="s">
        <v>20</v>
      </c>
      <c r="E223" t="s">
        <v>23</v>
      </c>
      <c r="G223" s="36" t="str">
        <f t="shared" si="3"/>
        <v/>
      </c>
      <c r="H223" s="38" t="str">
        <f>_xlfn.XLOOKUP(A223,Foglio1!A:A,Foglio1!G:G,"")</f>
        <v/>
      </c>
    </row>
    <row r="224" spans="1:8" x14ac:dyDescent="0.3">
      <c r="A224" t="s">
        <v>153</v>
      </c>
      <c r="B224" t="s">
        <v>29</v>
      </c>
      <c r="C224">
        <v>28</v>
      </c>
      <c r="D224" t="s">
        <v>20</v>
      </c>
      <c r="E224" t="s">
        <v>27</v>
      </c>
      <c r="G224" s="36" t="str">
        <f t="shared" si="3"/>
        <v/>
      </c>
      <c r="H224" s="38" t="str">
        <f>_xlfn.XLOOKUP(A224,Foglio1!A:A,Foglio1!G:G,"")</f>
        <v/>
      </c>
    </row>
    <row r="225" spans="1:8" x14ac:dyDescent="0.3">
      <c r="A225" t="s">
        <v>69</v>
      </c>
      <c r="B225" t="s">
        <v>29</v>
      </c>
      <c r="C225">
        <v>28</v>
      </c>
      <c r="D225" t="s">
        <v>20</v>
      </c>
      <c r="E225" t="s">
        <v>20</v>
      </c>
      <c r="G225" s="36" t="str">
        <f t="shared" si="3"/>
        <v/>
      </c>
      <c r="H225" s="38" t="str">
        <f>_xlfn.XLOOKUP(A225,Foglio1!A:A,Foglio1!G:G,"")</f>
        <v/>
      </c>
    </row>
    <row r="226" spans="1:8" x14ac:dyDescent="0.3">
      <c r="A226" t="s">
        <v>334</v>
      </c>
      <c r="B226" t="s">
        <v>29</v>
      </c>
      <c r="C226">
        <v>23</v>
      </c>
      <c r="D226" t="s">
        <v>20</v>
      </c>
      <c r="E226" t="s">
        <v>23</v>
      </c>
      <c r="G226" s="36" t="str">
        <f t="shared" si="3"/>
        <v/>
      </c>
      <c r="H226" s="38" t="str">
        <f>_xlfn.XLOOKUP(A226,Foglio1!A:A,Foglio1!G:G,"")</f>
        <v/>
      </c>
    </row>
    <row r="227" spans="1:8" x14ac:dyDescent="0.3">
      <c r="A227" t="s">
        <v>122</v>
      </c>
      <c r="B227" t="s">
        <v>29</v>
      </c>
      <c r="C227">
        <v>25</v>
      </c>
      <c r="D227" t="s">
        <v>20</v>
      </c>
      <c r="E227" t="s">
        <v>20</v>
      </c>
      <c r="G227" s="36" t="str">
        <f t="shared" si="3"/>
        <v/>
      </c>
      <c r="H227" s="38" t="str">
        <f>_xlfn.XLOOKUP(A227,Foglio1!A:A,Foglio1!G:G,"")</f>
        <v/>
      </c>
    </row>
    <row r="228" spans="1:8" x14ac:dyDescent="0.3">
      <c r="A228" t="s">
        <v>247</v>
      </c>
      <c r="B228" t="s">
        <v>29</v>
      </c>
      <c r="C228">
        <v>27</v>
      </c>
      <c r="D228" t="s">
        <v>20</v>
      </c>
      <c r="E228" t="s">
        <v>96</v>
      </c>
      <c r="G228" s="36" t="str">
        <f t="shared" si="3"/>
        <v/>
      </c>
      <c r="H228" s="38" t="str">
        <f>_xlfn.XLOOKUP(A228,Foglio1!A:A,Foglio1!G:G,"")</f>
        <v/>
      </c>
    </row>
    <row r="229" spans="1:8" x14ac:dyDescent="0.3">
      <c r="A229" t="s">
        <v>180</v>
      </c>
      <c r="B229" t="s">
        <v>29</v>
      </c>
      <c r="C229">
        <v>29</v>
      </c>
      <c r="D229" t="s">
        <v>8</v>
      </c>
      <c r="E229" t="s">
        <v>34</v>
      </c>
      <c r="G229" s="36" t="str">
        <f t="shared" si="3"/>
        <v/>
      </c>
      <c r="H229" s="38" t="str">
        <f>_xlfn.XLOOKUP(A229,Foglio1!A:A,Foglio1!G:G,"")</f>
        <v/>
      </c>
    </row>
    <row r="230" spans="1:8" x14ac:dyDescent="0.3">
      <c r="A230" t="s">
        <v>127</v>
      </c>
      <c r="B230" t="s">
        <v>29</v>
      </c>
      <c r="C230">
        <v>26</v>
      </c>
      <c r="D230" t="s">
        <v>8</v>
      </c>
      <c r="E230" t="s">
        <v>9</v>
      </c>
      <c r="G230" s="36" t="str">
        <f t="shared" si="3"/>
        <v/>
      </c>
      <c r="H230" s="38" t="str">
        <f>_xlfn.XLOOKUP(A230,Foglio1!A:A,Foglio1!G:G,"")</f>
        <v/>
      </c>
    </row>
    <row r="231" spans="1:8" x14ac:dyDescent="0.3">
      <c r="A231" t="s">
        <v>374</v>
      </c>
      <c r="B231" t="s">
        <v>29</v>
      </c>
      <c r="C231">
        <v>20</v>
      </c>
      <c r="D231" t="s">
        <v>8</v>
      </c>
      <c r="E231" t="s">
        <v>8</v>
      </c>
      <c r="G231" s="36" t="str">
        <f t="shared" si="3"/>
        <v/>
      </c>
      <c r="H231" s="38" t="str">
        <f>_xlfn.XLOOKUP(A231,Foglio1!A:A,Foglio1!G:G,"")</f>
        <v/>
      </c>
    </row>
    <row r="232" spans="1:8" x14ac:dyDescent="0.3">
      <c r="A232" t="s">
        <v>28</v>
      </c>
      <c r="B232" t="s">
        <v>29</v>
      </c>
      <c r="C232">
        <v>28</v>
      </c>
      <c r="D232" t="s">
        <v>8</v>
      </c>
      <c r="E232" t="s">
        <v>9</v>
      </c>
      <c r="G232" s="36" t="str">
        <f t="shared" si="3"/>
        <v/>
      </c>
      <c r="H232" s="38" t="str">
        <f>_xlfn.XLOOKUP(A232,Foglio1!A:A,Foglio1!G:G,"")</f>
        <v/>
      </c>
    </row>
    <row r="233" spans="1:8" x14ac:dyDescent="0.3">
      <c r="A233" t="s">
        <v>287</v>
      </c>
      <c r="B233" t="s">
        <v>29</v>
      </c>
      <c r="C233">
        <v>32</v>
      </c>
      <c r="D233" t="s">
        <v>8</v>
      </c>
      <c r="E233" t="s">
        <v>9</v>
      </c>
      <c r="G233" s="36" t="str">
        <f t="shared" si="3"/>
        <v/>
      </c>
      <c r="H233" s="38" t="str">
        <f>_xlfn.XLOOKUP(A233,Foglio1!A:A,Foglio1!G:G,"")</f>
        <v/>
      </c>
    </row>
    <row r="234" spans="1:8" x14ac:dyDescent="0.3">
      <c r="A234" t="s">
        <v>35</v>
      </c>
      <c r="B234" t="s">
        <v>29</v>
      </c>
      <c r="C234">
        <v>21</v>
      </c>
      <c r="D234" t="s">
        <v>8</v>
      </c>
      <c r="E234" t="s">
        <v>8</v>
      </c>
      <c r="G234" s="36" t="str">
        <f t="shared" si="3"/>
        <v/>
      </c>
      <c r="H234" s="38" t="str">
        <f>_xlfn.XLOOKUP(A234,Foglio1!A:A,Foglio1!G:G,"")</f>
        <v/>
      </c>
    </row>
    <row r="235" spans="1:8" x14ac:dyDescent="0.3">
      <c r="A235" t="s">
        <v>162</v>
      </c>
      <c r="B235" t="s">
        <v>55</v>
      </c>
      <c r="C235">
        <v>25</v>
      </c>
      <c r="D235" t="s">
        <v>71</v>
      </c>
      <c r="E235" t="s">
        <v>72</v>
      </c>
      <c r="G235" s="36" t="str">
        <f t="shared" si="3"/>
        <v/>
      </c>
      <c r="H235" s="38" t="str">
        <f>_xlfn.XLOOKUP(A235,Foglio1!A:A,Foglio1!G:G,"")</f>
        <v/>
      </c>
    </row>
    <row r="236" spans="1:8" x14ac:dyDescent="0.3">
      <c r="A236" t="s">
        <v>539</v>
      </c>
      <c r="B236" t="s">
        <v>55</v>
      </c>
      <c r="C236">
        <v>21</v>
      </c>
      <c r="D236" t="s">
        <v>71</v>
      </c>
      <c r="E236" t="s">
        <v>72</v>
      </c>
      <c r="G236" s="36" t="str">
        <f t="shared" si="3"/>
        <v/>
      </c>
      <c r="H236" s="38" t="str">
        <f>_xlfn.XLOOKUP(A236,Foglio1!A:A,Foglio1!G:G,"")</f>
        <v/>
      </c>
    </row>
    <row r="237" spans="1:8" x14ac:dyDescent="0.3">
      <c r="A237" t="s">
        <v>532</v>
      </c>
      <c r="B237" t="s">
        <v>55</v>
      </c>
      <c r="C237">
        <v>20</v>
      </c>
      <c r="D237" t="s">
        <v>71</v>
      </c>
      <c r="E237" t="s">
        <v>72</v>
      </c>
      <c r="G237" s="36" t="str">
        <f t="shared" si="3"/>
        <v/>
      </c>
      <c r="H237" s="38" t="str">
        <f>_xlfn.XLOOKUP(A237,Foglio1!A:A,Foglio1!G:G,"")</f>
        <v/>
      </c>
    </row>
    <row r="238" spans="1:8" x14ac:dyDescent="0.3">
      <c r="A238" t="s">
        <v>216</v>
      </c>
      <c r="B238" t="s">
        <v>55</v>
      </c>
      <c r="C238">
        <v>28</v>
      </c>
      <c r="D238" t="s">
        <v>16</v>
      </c>
      <c r="E238" t="s">
        <v>88</v>
      </c>
      <c r="G238" s="36" t="str">
        <f t="shared" si="3"/>
        <v/>
      </c>
      <c r="H238" s="38" t="str">
        <f>_xlfn.XLOOKUP(A238,Foglio1!A:A,Foglio1!G:G,"")</f>
        <v/>
      </c>
    </row>
    <row r="239" spans="1:8" x14ac:dyDescent="0.3">
      <c r="A239" t="s">
        <v>347</v>
      </c>
      <c r="B239" t="s">
        <v>55</v>
      </c>
      <c r="C239">
        <v>23</v>
      </c>
      <c r="D239" t="s">
        <v>16</v>
      </c>
      <c r="E239" t="s">
        <v>131</v>
      </c>
      <c r="G239" s="36" t="str">
        <f t="shared" si="3"/>
        <v/>
      </c>
      <c r="H239" s="38" t="str">
        <f>_xlfn.XLOOKUP(A239,Foglio1!A:A,Foglio1!G:G,"")</f>
        <v/>
      </c>
    </row>
    <row r="240" spans="1:8" x14ac:dyDescent="0.3">
      <c r="A240" t="s">
        <v>435</v>
      </c>
      <c r="B240" t="s">
        <v>55</v>
      </c>
      <c r="C240">
        <v>33</v>
      </c>
      <c r="D240" t="s">
        <v>16</v>
      </c>
      <c r="E240" t="s">
        <v>131</v>
      </c>
      <c r="G240" s="36" t="str">
        <f t="shared" si="3"/>
        <v/>
      </c>
      <c r="H240" s="38" t="str">
        <f>_xlfn.XLOOKUP(A240,Foglio1!A:A,Foglio1!G:G,"")</f>
        <v/>
      </c>
    </row>
    <row r="241" spans="1:8" x14ac:dyDescent="0.3">
      <c r="A241" t="s">
        <v>237</v>
      </c>
      <c r="B241" t="s">
        <v>55</v>
      </c>
      <c r="C241">
        <v>34</v>
      </c>
      <c r="D241" t="s">
        <v>16</v>
      </c>
      <c r="E241" t="s">
        <v>174</v>
      </c>
      <c r="G241" s="36" t="str">
        <f t="shared" si="3"/>
        <v/>
      </c>
      <c r="H241" s="38" t="str">
        <f>_xlfn.XLOOKUP(A241,Foglio1!A:A,Foglio1!G:G,"")</f>
        <v/>
      </c>
    </row>
    <row r="242" spans="1:8" x14ac:dyDescent="0.3">
      <c r="A242" t="s">
        <v>500</v>
      </c>
      <c r="B242" t="s">
        <v>55</v>
      </c>
      <c r="C242">
        <v>33</v>
      </c>
      <c r="D242" t="s">
        <v>16</v>
      </c>
      <c r="E242" t="s">
        <v>111</v>
      </c>
      <c r="G242" s="36" t="str">
        <f t="shared" si="3"/>
        <v/>
      </c>
      <c r="H242" s="38" t="str">
        <f>_xlfn.XLOOKUP(A242,Foglio1!A:A,Foglio1!G:G,"")</f>
        <v/>
      </c>
    </row>
    <row r="243" spans="1:8" x14ac:dyDescent="0.3">
      <c r="A243" t="s">
        <v>280</v>
      </c>
      <c r="B243" t="s">
        <v>55</v>
      </c>
      <c r="C243">
        <v>30</v>
      </c>
      <c r="D243" t="s">
        <v>16</v>
      </c>
      <c r="E243" t="s">
        <v>188</v>
      </c>
      <c r="G243" s="36" t="str">
        <f t="shared" si="3"/>
        <v/>
      </c>
      <c r="H243" s="38" t="str">
        <f>_xlfn.XLOOKUP(A243,Foglio1!A:A,Foglio1!G:G,"")</f>
        <v/>
      </c>
    </row>
    <row r="244" spans="1:8" x14ac:dyDescent="0.3">
      <c r="A244" t="s">
        <v>461</v>
      </c>
      <c r="B244" t="s">
        <v>55</v>
      </c>
      <c r="C244">
        <v>27</v>
      </c>
      <c r="D244" t="s">
        <v>16</v>
      </c>
      <c r="E244" t="s">
        <v>188</v>
      </c>
      <c r="G244" s="36" t="str">
        <f t="shared" si="3"/>
        <v/>
      </c>
      <c r="H244" s="38" t="str">
        <f>_xlfn.XLOOKUP(A244,Foglio1!A:A,Foglio1!G:G,"")</f>
        <v/>
      </c>
    </row>
    <row r="245" spans="1:8" x14ac:dyDescent="0.3">
      <c r="A245" t="s">
        <v>394</v>
      </c>
      <c r="B245" t="s">
        <v>55</v>
      </c>
      <c r="C245">
        <v>23</v>
      </c>
      <c r="D245" t="s">
        <v>16</v>
      </c>
      <c r="E245" t="s">
        <v>88</v>
      </c>
      <c r="G245" s="36" t="str">
        <f t="shared" si="3"/>
        <v/>
      </c>
      <c r="H245" s="38" t="str">
        <f>_xlfn.XLOOKUP(A245,Foglio1!A:A,Foglio1!G:G,"")</f>
        <v/>
      </c>
    </row>
    <row r="246" spans="1:8" x14ac:dyDescent="0.3">
      <c r="A246" t="s">
        <v>205</v>
      </c>
      <c r="B246" t="s">
        <v>55</v>
      </c>
      <c r="C246">
        <v>31</v>
      </c>
      <c r="D246" t="s">
        <v>16</v>
      </c>
      <c r="E246" t="s">
        <v>88</v>
      </c>
      <c r="G246" s="36" t="str">
        <f t="shared" si="3"/>
        <v/>
      </c>
      <c r="H246" s="38" t="str">
        <f>_xlfn.XLOOKUP(A246,Foglio1!A:A,Foglio1!G:G,"")</f>
        <v/>
      </c>
    </row>
    <row r="247" spans="1:8" x14ac:dyDescent="0.3">
      <c r="A247" t="s">
        <v>256</v>
      </c>
      <c r="B247" t="s">
        <v>55</v>
      </c>
      <c r="C247">
        <v>26</v>
      </c>
      <c r="D247" t="s">
        <v>16</v>
      </c>
      <c r="E247" t="s">
        <v>188</v>
      </c>
      <c r="G247" s="36" t="str">
        <f t="shared" si="3"/>
        <v/>
      </c>
      <c r="H247" s="38" t="str">
        <f>_xlfn.XLOOKUP(A247,Foglio1!A:A,Foglio1!G:G,"")</f>
        <v/>
      </c>
    </row>
    <row r="248" spans="1:8" x14ac:dyDescent="0.3">
      <c r="A248" t="s">
        <v>448</v>
      </c>
      <c r="B248" t="s">
        <v>55</v>
      </c>
      <c r="C248">
        <v>22</v>
      </c>
      <c r="D248" t="s">
        <v>20</v>
      </c>
      <c r="E248" t="s">
        <v>27</v>
      </c>
      <c r="G248" s="36" t="str">
        <f t="shared" si="3"/>
        <v/>
      </c>
      <c r="H248" s="38" t="str">
        <f>_xlfn.XLOOKUP(A248,Foglio1!A:A,Foglio1!G:G,"")</f>
        <v/>
      </c>
    </row>
    <row r="249" spans="1:8" x14ac:dyDescent="0.3">
      <c r="A249" t="s">
        <v>166</v>
      </c>
      <c r="B249" t="s">
        <v>55</v>
      </c>
      <c r="C249">
        <v>24</v>
      </c>
      <c r="D249" t="s">
        <v>20</v>
      </c>
      <c r="E249" t="s">
        <v>34</v>
      </c>
      <c r="G249" s="36" t="str">
        <f t="shared" si="3"/>
        <v/>
      </c>
      <c r="H249" s="38" t="str">
        <f>_xlfn.XLOOKUP(A249,Foglio1!A:A,Foglio1!G:G,"")</f>
        <v/>
      </c>
    </row>
    <row r="250" spans="1:8" x14ac:dyDescent="0.3">
      <c r="A250" t="s">
        <v>340</v>
      </c>
      <c r="B250" t="s">
        <v>55</v>
      </c>
      <c r="C250">
        <v>32</v>
      </c>
      <c r="D250" t="s">
        <v>20</v>
      </c>
      <c r="E250" t="s">
        <v>27</v>
      </c>
      <c r="G250" s="36" t="str">
        <f t="shared" si="3"/>
        <v/>
      </c>
      <c r="H250" s="38" t="str">
        <f>_xlfn.XLOOKUP(A250,Foglio1!A:A,Foglio1!G:G,"")</f>
        <v/>
      </c>
    </row>
    <row r="251" spans="1:8" x14ac:dyDescent="0.3">
      <c r="A251" t="s">
        <v>295</v>
      </c>
      <c r="B251" t="s">
        <v>55</v>
      </c>
      <c r="C251">
        <v>25</v>
      </c>
      <c r="D251" t="s">
        <v>20</v>
      </c>
      <c r="E251" t="s">
        <v>23</v>
      </c>
      <c r="G251" s="36" t="str">
        <f t="shared" si="3"/>
        <v/>
      </c>
      <c r="H251" s="38" t="str">
        <f>_xlfn.XLOOKUP(A251,Foglio1!A:A,Foglio1!G:G,"")</f>
        <v/>
      </c>
    </row>
    <row r="252" spans="1:8" x14ac:dyDescent="0.3">
      <c r="A252" t="s">
        <v>86</v>
      </c>
      <c r="B252" t="s">
        <v>55</v>
      </c>
      <c r="C252">
        <v>27</v>
      </c>
      <c r="D252" t="s">
        <v>20</v>
      </c>
      <c r="E252" t="s">
        <v>23</v>
      </c>
      <c r="G252" s="36" t="str">
        <f t="shared" si="3"/>
        <v/>
      </c>
      <c r="H252" s="38" t="str">
        <f>_xlfn.XLOOKUP(A252,Foglio1!A:A,Foglio1!G:G,"")</f>
        <v/>
      </c>
    </row>
    <row r="253" spans="1:8" x14ac:dyDescent="0.3">
      <c r="A253" t="s">
        <v>183</v>
      </c>
      <c r="B253" t="s">
        <v>55</v>
      </c>
      <c r="C253">
        <v>25</v>
      </c>
      <c r="D253" t="s">
        <v>20</v>
      </c>
      <c r="E253" t="s">
        <v>34</v>
      </c>
      <c r="G253" s="36" t="str">
        <f t="shared" si="3"/>
        <v/>
      </c>
      <c r="H253" s="38" t="str">
        <f>_xlfn.XLOOKUP(A253,Foglio1!A:A,Foglio1!G:G,"")</f>
        <v/>
      </c>
    </row>
    <row r="254" spans="1:8" x14ac:dyDescent="0.3">
      <c r="A254" t="s">
        <v>441</v>
      </c>
      <c r="B254" t="s">
        <v>55</v>
      </c>
      <c r="C254">
        <v>19</v>
      </c>
      <c r="D254" t="s">
        <v>20</v>
      </c>
      <c r="E254" t="s">
        <v>83</v>
      </c>
      <c r="G254" s="36" t="str">
        <f t="shared" si="3"/>
        <v/>
      </c>
      <c r="H254" s="38" t="str">
        <f>_xlfn.XLOOKUP(A254,Foglio1!A:A,Foglio1!G:G,"")</f>
        <v/>
      </c>
    </row>
    <row r="255" spans="1:8" x14ac:dyDescent="0.3">
      <c r="A255" t="s">
        <v>270</v>
      </c>
      <c r="B255" t="s">
        <v>55</v>
      </c>
      <c r="C255">
        <v>25</v>
      </c>
      <c r="D255" t="s">
        <v>20</v>
      </c>
      <c r="E255" t="s">
        <v>27</v>
      </c>
      <c r="G255" s="36" t="str">
        <f t="shared" si="3"/>
        <v/>
      </c>
      <c r="H255" s="38" t="str">
        <f>_xlfn.XLOOKUP(A255,Foglio1!A:A,Foglio1!G:G,"")</f>
        <v/>
      </c>
    </row>
    <row r="256" spans="1:8" x14ac:dyDescent="0.3">
      <c r="A256" t="s">
        <v>75</v>
      </c>
      <c r="B256" t="s">
        <v>55</v>
      </c>
      <c r="C256">
        <v>24</v>
      </c>
      <c r="D256" t="s">
        <v>20</v>
      </c>
      <c r="E256" t="s">
        <v>23</v>
      </c>
      <c r="G256" s="36" t="str">
        <f t="shared" si="3"/>
        <v/>
      </c>
      <c r="H256" s="38" t="str">
        <f>_xlfn.XLOOKUP(A256,Foglio1!A:A,Foglio1!G:G,"")</f>
        <v/>
      </c>
    </row>
    <row r="257" spans="1:8" x14ac:dyDescent="0.3">
      <c r="A257" t="s">
        <v>54</v>
      </c>
      <c r="B257" t="s">
        <v>55</v>
      </c>
      <c r="C257">
        <v>31</v>
      </c>
      <c r="D257" t="s">
        <v>20</v>
      </c>
      <c r="E257" t="s">
        <v>34</v>
      </c>
      <c r="G257" s="36" t="str">
        <f t="shared" si="3"/>
        <v/>
      </c>
      <c r="H257" s="38" t="str">
        <f>_xlfn.XLOOKUP(A257,Foglio1!A:A,Foglio1!G:G,"")</f>
        <v/>
      </c>
    </row>
    <row r="258" spans="1:8" x14ac:dyDescent="0.3">
      <c r="A258" t="s">
        <v>149</v>
      </c>
      <c r="B258" t="s">
        <v>55</v>
      </c>
      <c r="C258">
        <v>30</v>
      </c>
      <c r="D258" t="s">
        <v>8</v>
      </c>
      <c r="E258" t="s">
        <v>8</v>
      </c>
      <c r="G258" s="36" t="str">
        <f t="shared" si="3"/>
        <v/>
      </c>
      <c r="H258" s="38" t="str">
        <f>_xlfn.XLOOKUP(A258,Foglio1!A:A,Foglio1!G:G,"")</f>
        <v/>
      </c>
    </row>
    <row r="259" spans="1:8" x14ac:dyDescent="0.3">
      <c r="A259" t="s">
        <v>239</v>
      </c>
      <c r="B259" t="s">
        <v>55</v>
      </c>
      <c r="C259">
        <v>27</v>
      </c>
      <c r="D259" t="s">
        <v>8</v>
      </c>
      <c r="E259" t="s">
        <v>8</v>
      </c>
      <c r="G259" s="36" t="str">
        <f t="shared" si="3"/>
        <v/>
      </c>
      <c r="H259" s="38" t="str">
        <f>_xlfn.XLOOKUP(A259,Foglio1!A:A,Foglio1!G:G,"")</f>
        <v/>
      </c>
    </row>
    <row r="260" spans="1:8" x14ac:dyDescent="0.3">
      <c r="A260" t="s">
        <v>147</v>
      </c>
      <c r="B260" t="s">
        <v>55</v>
      </c>
      <c r="C260">
        <v>23</v>
      </c>
      <c r="D260" t="s">
        <v>8</v>
      </c>
      <c r="E260" t="s">
        <v>9</v>
      </c>
      <c r="G260" s="36" t="str">
        <f t="shared" ref="G260:G323" si="4">IFERROR(AVERAGE(I260:U260),"")</f>
        <v/>
      </c>
      <c r="H260" s="38" t="str">
        <f>_xlfn.XLOOKUP(A260,Foglio1!A:A,Foglio1!G:G,"")</f>
        <v/>
      </c>
    </row>
    <row r="261" spans="1:8" x14ac:dyDescent="0.3">
      <c r="A261" t="s">
        <v>554</v>
      </c>
      <c r="B261" t="s">
        <v>178</v>
      </c>
      <c r="C261">
        <v>31</v>
      </c>
      <c r="D261" t="s">
        <v>71</v>
      </c>
      <c r="E261" t="s">
        <v>72</v>
      </c>
      <c r="G261" s="36" t="str">
        <f t="shared" si="4"/>
        <v/>
      </c>
      <c r="H261" s="38" t="str">
        <f>_xlfn.XLOOKUP(A261,Foglio1!A:A,Foglio1!G:G,"")</f>
        <v/>
      </c>
    </row>
    <row r="262" spans="1:8" x14ac:dyDescent="0.3">
      <c r="A262" t="s">
        <v>192</v>
      </c>
      <c r="B262" t="s">
        <v>178</v>
      </c>
      <c r="C262">
        <v>31</v>
      </c>
      <c r="D262" t="s">
        <v>71</v>
      </c>
      <c r="E262" t="s">
        <v>72</v>
      </c>
      <c r="G262" s="36" t="str">
        <f t="shared" si="4"/>
        <v/>
      </c>
      <c r="H262" s="38" t="str">
        <f>_xlfn.XLOOKUP(A262,Foglio1!A:A,Foglio1!G:G,"")</f>
        <v/>
      </c>
    </row>
    <row r="263" spans="1:8" x14ac:dyDescent="0.3">
      <c r="A263" t="s">
        <v>530</v>
      </c>
      <c r="B263" t="s">
        <v>178</v>
      </c>
      <c r="C263">
        <v>18</v>
      </c>
      <c r="D263" t="s">
        <v>71</v>
      </c>
      <c r="E263" t="s">
        <v>72</v>
      </c>
      <c r="G263" s="36" t="str">
        <f t="shared" si="4"/>
        <v/>
      </c>
      <c r="H263" s="38" t="str">
        <f>_xlfn.XLOOKUP(A263,Foglio1!A:A,Foglio1!G:G,"")</f>
        <v/>
      </c>
    </row>
    <row r="264" spans="1:8" x14ac:dyDescent="0.3">
      <c r="A264" t="s">
        <v>319</v>
      </c>
      <c r="B264" t="s">
        <v>178</v>
      </c>
      <c r="C264">
        <v>26</v>
      </c>
      <c r="D264" t="s">
        <v>16</v>
      </c>
      <c r="E264" t="s">
        <v>188</v>
      </c>
      <c r="G264" s="36" t="str">
        <f t="shared" si="4"/>
        <v/>
      </c>
      <c r="H264" s="38" t="str">
        <f>_xlfn.XLOOKUP(A264,Foglio1!A:A,Foglio1!G:G,"")</f>
        <v/>
      </c>
    </row>
    <row r="265" spans="1:8" x14ac:dyDescent="0.3">
      <c r="A265" t="s">
        <v>353</v>
      </c>
      <c r="B265" t="s">
        <v>178</v>
      </c>
      <c r="C265">
        <v>29</v>
      </c>
      <c r="D265" t="s">
        <v>16</v>
      </c>
      <c r="E265" t="s">
        <v>88</v>
      </c>
      <c r="G265" s="36" t="str">
        <f t="shared" si="4"/>
        <v/>
      </c>
      <c r="H265" s="38" t="str">
        <f>_xlfn.XLOOKUP(A265,Foglio1!A:A,Foglio1!G:G,"")</f>
        <v/>
      </c>
    </row>
    <row r="266" spans="1:8" x14ac:dyDescent="0.3">
      <c r="A266" t="s">
        <v>491</v>
      </c>
      <c r="B266" t="s">
        <v>178</v>
      </c>
      <c r="C266">
        <v>26</v>
      </c>
      <c r="D266" t="s">
        <v>16</v>
      </c>
      <c r="E266" t="s">
        <v>88</v>
      </c>
      <c r="G266" s="36" t="str">
        <f t="shared" si="4"/>
        <v/>
      </c>
      <c r="H266" s="38" t="str">
        <f>_xlfn.XLOOKUP(A266,Foglio1!A:A,Foglio1!G:G,"")</f>
        <v/>
      </c>
    </row>
    <row r="267" spans="1:8" x14ac:dyDescent="0.3">
      <c r="A267" t="s">
        <v>490</v>
      </c>
      <c r="B267" t="s">
        <v>178</v>
      </c>
      <c r="C267">
        <v>27</v>
      </c>
      <c r="D267" t="s">
        <v>16</v>
      </c>
      <c r="E267" t="s">
        <v>188</v>
      </c>
      <c r="G267" s="36" t="str">
        <f t="shared" si="4"/>
        <v/>
      </c>
      <c r="H267" s="38" t="str">
        <f>_xlfn.XLOOKUP(A267,Foglio1!A:A,Foglio1!G:G,"")</f>
        <v/>
      </c>
    </row>
    <row r="268" spans="1:8" x14ac:dyDescent="0.3">
      <c r="A268" t="s">
        <v>346</v>
      </c>
      <c r="B268" t="s">
        <v>178</v>
      </c>
      <c r="C268">
        <v>24</v>
      </c>
      <c r="D268" t="s">
        <v>16</v>
      </c>
      <c r="E268" t="s">
        <v>88</v>
      </c>
      <c r="G268" s="36" t="str">
        <f t="shared" si="4"/>
        <v/>
      </c>
      <c r="H268" s="38" t="str">
        <f>_xlfn.XLOOKUP(A268,Foglio1!A:A,Foglio1!G:G,"")</f>
        <v/>
      </c>
    </row>
    <row r="269" spans="1:8" x14ac:dyDescent="0.3">
      <c r="A269" t="s">
        <v>251</v>
      </c>
      <c r="B269" t="s">
        <v>178</v>
      </c>
      <c r="C269">
        <v>22</v>
      </c>
      <c r="D269" t="s">
        <v>16</v>
      </c>
      <c r="E269" t="s">
        <v>88</v>
      </c>
      <c r="G269" s="36" t="str">
        <f t="shared" si="4"/>
        <v/>
      </c>
      <c r="H269" s="38" t="str">
        <f>_xlfn.XLOOKUP(A269,Foglio1!A:A,Foglio1!G:G,"")</f>
        <v/>
      </c>
    </row>
    <row r="270" spans="1:8" x14ac:dyDescent="0.3">
      <c r="A270" t="s">
        <v>349</v>
      </c>
      <c r="B270" t="s">
        <v>178</v>
      </c>
      <c r="C270">
        <v>24</v>
      </c>
      <c r="D270" t="s">
        <v>16</v>
      </c>
      <c r="E270" t="s">
        <v>131</v>
      </c>
      <c r="G270" s="36" t="str">
        <f t="shared" si="4"/>
        <v/>
      </c>
      <c r="H270" s="38" t="str">
        <f>_xlfn.XLOOKUP(A270,Foglio1!A:A,Foglio1!G:G,"")</f>
        <v/>
      </c>
    </row>
    <row r="271" spans="1:8" x14ac:dyDescent="0.3">
      <c r="A271" t="s">
        <v>269</v>
      </c>
      <c r="B271" t="s">
        <v>178</v>
      </c>
      <c r="C271">
        <v>23</v>
      </c>
      <c r="D271" t="s">
        <v>20</v>
      </c>
      <c r="E271" t="s">
        <v>23</v>
      </c>
      <c r="G271" s="36" t="str">
        <f t="shared" si="4"/>
        <v/>
      </c>
      <c r="H271" s="38" t="str">
        <f>_xlfn.XLOOKUP(A271,Foglio1!A:A,Foglio1!G:G,"")</f>
        <v/>
      </c>
    </row>
    <row r="272" spans="1:8" x14ac:dyDescent="0.3">
      <c r="A272" t="s">
        <v>302</v>
      </c>
      <c r="B272" t="s">
        <v>178</v>
      </c>
      <c r="C272">
        <v>30</v>
      </c>
      <c r="D272" t="s">
        <v>20</v>
      </c>
      <c r="E272" t="s">
        <v>27</v>
      </c>
      <c r="G272" s="36" t="str">
        <f t="shared" si="4"/>
        <v/>
      </c>
      <c r="H272" s="38" t="str">
        <f>_xlfn.XLOOKUP(A272,Foglio1!A:A,Foglio1!G:G,"")</f>
        <v/>
      </c>
    </row>
    <row r="273" spans="1:8" x14ac:dyDescent="0.3">
      <c r="A273" t="s">
        <v>514</v>
      </c>
      <c r="B273" t="s">
        <v>178</v>
      </c>
      <c r="C273">
        <v>23</v>
      </c>
      <c r="D273" t="s">
        <v>20</v>
      </c>
      <c r="E273" t="s">
        <v>27</v>
      </c>
      <c r="G273" s="36" t="str">
        <f t="shared" si="4"/>
        <v/>
      </c>
      <c r="H273" s="38" t="str">
        <f>_xlfn.XLOOKUP(A273,Foglio1!A:A,Foglio1!G:G,"")</f>
        <v/>
      </c>
    </row>
    <row r="274" spans="1:8" x14ac:dyDescent="0.3">
      <c r="A274" t="s">
        <v>292</v>
      </c>
      <c r="B274" t="s">
        <v>178</v>
      </c>
      <c r="C274">
        <v>26</v>
      </c>
      <c r="D274" t="s">
        <v>20</v>
      </c>
      <c r="E274" t="s">
        <v>23</v>
      </c>
      <c r="G274" s="36" t="str">
        <f t="shared" si="4"/>
        <v/>
      </c>
      <c r="H274" s="38" t="str">
        <f>_xlfn.XLOOKUP(A274,Foglio1!A:A,Foglio1!G:G,"")</f>
        <v/>
      </c>
    </row>
    <row r="275" spans="1:8" x14ac:dyDescent="0.3">
      <c r="A275" t="s">
        <v>474</v>
      </c>
      <c r="B275" t="s">
        <v>178</v>
      </c>
      <c r="C275">
        <v>21</v>
      </c>
      <c r="D275" t="s">
        <v>20</v>
      </c>
      <c r="E275" t="s">
        <v>27</v>
      </c>
      <c r="G275" s="36" t="str">
        <f t="shared" si="4"/>
        <v/>
      </c>
      <c r="H275" s="38" t="str">
        <f>_xlfn.XLOOKUP(A275,Foglio1!A:A,Foglio1!G:G,"")</f>
        <v/>
      </c>
    </row>
    <row r="276" spans="1:8" x14ac:dyDescent="0.3">
      <c r="A276" t="s">
        <v>518</v>
      </c>
      <c r="B276" t="s">
        <v>178</v>
      </c>
      <c r="C276">
        <v>25</v>
      </c>
      <c r="D276" t="s">
        <v>20</v>
      </c>
      <c r="E276" t="s">
        <v>27</v>
      </c>
      <c r="G276" s="36" t="str">
        <f t="shared" si="4"/>
        <v/>
      </c>
      <c r="H276" s="38" t="str">
        <f>_xlfn.XLOOKUP(A276,Foglio1!A:A,Foglio1!G:G,"")</f>
        <v/>
      </c>
    </row>
    <row r="277" spans="1:8" x14ac:dyDescent="0.3">
      <c r="A277" t="s">
        <v>511</v>
      </c>
      <c r="B277" t="s">
        <v>178</v>
      </c>
      <c r="C277">
        <v>19</v>
      </c>
      <c r="D277" t="s">
        <v>20</v>
      </c>
      <c r="E277" t="s">
        <v>34</v>
      </c>
      <c r="G277" s="36" t="str">
        <f t="shared" si="4"/>
        <v/>
      </c>
      <c r="H277" s="38" t="str">
        <f>_xlfn.XLOOKUP(A277,Foglio1!A:A,Foglio1!G:G,"")</f>
        <v/>
      </c>
    </row>
    <row r="278" spans="1:8" x14ac:dyDescent="0.3">
      <c r="A278" t="s">
        <v>450</v>
      </c>
      <c r="B278" t="s">
        <v>178</v>
      </c>
      <c r="C278">
        <v>28</v>
      </c>
      <c r="D278" t="s">
        <v>20</v>
      </c>
      <c r="E278" t="s">
        <v>27</v>
      </c>
      <c r="G278" s="36" t="str">
        <f t="shared" si="4"/>
        <v/>
      </c>
      <c r="H278" s="38" t="str">
        <f>_xlfn.XLOOKUP(A278,Foglio1!A:A,Foglio1!G:G,"")</f>
        <v/>
      </c>
    </row>
    <row r="279" spans="1:8" x14ac:dyDescent="0.3">
      <c r="A279" t="s">
        <v>327</v>
      </c>
      <c r="B279" t="s">
        <v>178</v>
      </c>
      <c r="C279">
        <v>22</v>
      </c>
      <c r="D279" t="s">
        <v>20</v>
      </c>
      <c r="E279" t="s">
        <v>27</v>
      </c>
      <c r="G279" s="36" t="str">
        <f t="shared" si="4"/>
        <v/>
      </c>
      <c r="H279" s="38" t="str">
        <f>_xlfn.XLOOKUP(A279,Foglio1!A:A,Foglio1!G:G,"")</f>
        <v/>
      </c>
    </row>
    <row r="280" spans="1:8" x14ac:dyDescent="0.3">
      <c r="A280" t="s">
        <v>223</v>
      </c>
      <c r="B280" t="s">
        <v>178</v>
      </c>
      <c r="C280">
        <v>25</v>
      </c>
      <c r="D280" t="s">
        <v>20</v>
      </c>
      <c r="E280" t="s">
        <v>96</v>
      </c>
      <c r="G280" s="36" t="str">
        <f t="shared" si="4"/>
        <v/>
      </c>
      <c r="H280" s="38" t="str">
        <f>_xlfn.XLOOKUP(A280,Foglio1!A:A,Foglio1!G:G,"")</f>
        <v/>
      </c>
    </row>
    <row r="281" spans="1:8" x14ac:dyDescent="0.3">
      <c r="A281" t="s">
        <v>177</v>
      </c>
      <c r="B281" t="s">
        <v>178</v>
      </c>
      <c r="C281">
        <v>25</v>
      </c>
      <c r="D281" t="s">
        <v>8</v>
      </c>
      <c r="E281" t="s">
        <v>9</v>
      </c>
      <c r="G281" s="36" t="str">
        <f t="shared" si="4"/>
        <v/>
      </c>
      <c r="H281" s="38" t="str">
        <f>_xlfn.XLOOKUP(A281,Foglio1!A:A,Foglio1!G:G,"")</f>
        <v/>
      </c>
    </row>
    <row r="282" spans="1:8" x14ac:dyDescent="0.3">
      <c r="A282" t="s">
        <v>373</v>
      </c>
      <c r="B282" t="s">
        <v>178</v>
      </c>
      <c r="C282">
        <v>26</v>
      </c>
      <c r="D282" t="s">
        <v>8</v>
      </c>
      <c r="E282" t="s">
        <v>34</v>
      </c>
      <c r="G282" s="36" t="str">
        <f t="shared" si="4"/>
        <v/>
      </c>
      <c r="H282" s="38" t="str">
        <f>_xlfn.XLOOKUP(A282,Foglio1!A:A,Foglio1!G:G,"")</f>
        <v/>
      </c>
    </row>
    <row r="283" spans="1:8" x14ac:dyDescent="0.3">
      <c r="A283" t="s">
        <v>238</v>
      </c>
      <c r="B283" t="s">
        <v>178</v>
      </c>
      <c r="C283">
        <v>25</v>
      </c>
      <c r="D283" t="s">
        <v>8</v>
      </c>
      <c r="E283" t="s">
        <v>9</v>
      </c>
      <c r="G283" s="36" t="str">
        <f t="shared" si="4"/>
        <v/>
      </c>
      <c r="H283" s="38" t="str">
        <f>_xlfn.XLOOKUP(A283,Foglio1!A:A,Foglio1!G:G,"")</f>
        <v/>
      </c>
    </row>
    <row r="284" spans="1:8" x14ac:dyDescent="0.3">
      <c r="A284" t="s">
        <v>102</v>
      </c>
      <c r="B284" t="s">
        <v>25</v>
      </c>
      <c r="C284">
        <v>31</v>
      </c>
      <c r="D284" t="s">
        <v>71</v>
      </c>
      <c r="E284" t="s">
        <v>72</v>
      </c>
      <c r="G284" s="36" t="str">
        <f t="shared" si="4"/>
        <v/>
      </c>
      <c r="H284" s="38" t="str">
        <f>_xlfn.XLOOKUP(A284,Foglio1!A:A,Foglio1!G:G,"")</f>
        <v/>
      </c>
    </row>
    <row r="285" spans="1:8" x14ac:dyDescent="0.3">
      <c r="A285" t="s">
        <v>556</v>
      </c>
      <c r="B285" t="s">
        <v>25</v>
      </c>
      <c r="C285">
        <v>36</v>
      </c>
      <c r="D285" t="s">
        <v>71</v>
      </c>
      <c r="E285" t="s">
        <v>72</v>
      </c>
      <c r="G285" s="36" t="str">
        <f t="shared" si="4"/>
        <v/>
      </c>
      <c r="H285" s="38" t="str">
        <f>_xlfn.XLOOKUP(A285,Foglio1!A:A,Foglio1!G:G,"")</f>
        <v/>
      </c>
    </row>
    <row r="286" spans="1:8" x14ac:dyDescent="0.3">
      <c r="A286" t="s">
        <v>543</v>
      </c>
      <c r="B286" t="s">
        <v>25</v>
      </c>
      <c r="C286">
        <v>21</v>
      </c>
      <c r="D286" t="s">
        <v>71</v>
      </c>
      <c r="E286" t="s">
        <v>72</v>
      </c>
      <c r="G286" s="36" t="str">
        <f t="shared" si="4"/>
        <v/>
      </c>
      <c r="H286" s="38" t="str">
        <f>_xlfn.XLOOKUP(A286,Foglio1!A:A,Foglio1!G:G,"")</f>
        <v/>
      </c>
    </row>
    <row r="287" spans="1:8" x14ac:dyDescent="0.3">
      <c r="A287" t="s">
        <v>187</v>
      </c>
      <c r="B287" t="s">
        <v>25</v>
      </c>
      <c r="C287">
        <v>21</v>
      </c>
      <c r="D287" t="s">
        <v>16</v>
      </c>
      <c r="E287" t="s">
        <v>188</v>
      </c>
      <c r="G287" s="36" t="str">
        <f t="shared" si="4"/>
        <v/>
      </c>
      <c r="H287" s="38" t="str">
        <f>_xlfn.XLOOKUP(A287,Foglio1!A:A,Foglio1!G:G,"")</f>
        <v/>
      </c>
    </row>
    <row r="288" spans="1:8" x14ac:dyDescent="0.3">
      <c r="A288" t="s">
        <v>357</v>
      </c>
      <c r="B288" t="s">
        <v>25</v>
      </c>
      <c r="C288">
        <v>24</v>
      </c>
      <c r="D288" t="s">
        <v>16</v>
      </c>
      <c r="E288" t="s">
        <v>111</v>
      </c>
      <c r="G288" s="36" t="str">
        <f t="shared" si="4"/>
        <v/>
      </c>
      <c r="H288" s="38" t="str">
        <f>_xlfn.XLOOKUP(A288,Foglio1!A:A,Foglio1!G:G,"")</f>
        <v/>
      </c>
    </row>
    <row r="289" spans="1:8" x14ac:dyDescent="0.3">
      <c r="A289" t="s">
        <v>483</v>
      </c>
      <c r="B289" t="s">
        <v>25</v>
      </c>
      <c r="C289">
        <v>20</v>
      </c>
      <c r="D289" t="s">
        <v>16</v>
      </c>
      <c r="E289" t="s">
        <v>146</v>
      </c>
      <c r="G289" s="36" t="str">
        <f t="shared" si="4"/>
        <v/>
      </c>
      <c r="H289" s="38" t="str">
        <f>_xlfn.XLOOKUP(A289,Foglio1!A:A,Foglio1!G:G,"")</f>
        <v/>
      </c>
    </row>
    <row r="290" spans="1:8" x14ac:dyDescent="0.3">
      <c r="A290" t="s">
        <v>403</v>
      </c>
      <c r="B290" t="s">
        <v>25</v>
      </c>
      <c r="C290">
        <v>28</v>
      </c>
      <c r="D290" t="s">
        <v>16</v>
      </c>
      <c r="E290" t="s">
        <v>188</v>
      </c>
      <c r="G290" s="36" t="str">
        <f t="shared" si="4"/>
        <v/>
      </c>
      <c r="H290" s="38" t="str">
        <f>_xlfn.XLOOKUP(A290,Foglio1!A:A,Foglio1!G:G,"")</f>
        <v/>
      </c>
    </row>
    <row r="291" spans="1:8" x14ac:dyDescent="0.3">
      <c r="A291" t="s">
        <v>191</v>
      </c>
      <c r="B291" t="s">
        <v>25</v>
      </c>
      <c r="C291">
        <v>27</v>
      </c>
      <c r="D291" t="s">
        <v>16</v>
      </c>
      <c r="E291" t="s">
        <v>88</v>
      </c>
      <c r="G291" s="36" t="str">
        <f t="shared" si="4"/>
        <v/>
      </c>
      <c r="H291" s="38" t="str">
        <f>_xlfn.XLOOKUP(A291,Foglio1!A:A,Foglio1!G:G,"")</f>
        <v/>
      </c>
    </row>
    <row r="292" spans="1:8" x14ac:dyDescent="0.3">
      <c r="A292" t="s">
        <v>155</v>
      </c>
      <c r="B292" t="s">
        <v>25</v>
      </c>
      <c r="C292">
        <v>26</v>
      </c>
      <c r="D292" t="s">
        <v>16</v>
      </c>
      <c r="E292" t="s">
        <v>88</v>
      </c>
      <c r="G292" s="36" t="str">
        <f t="shared" si="4"/>
        <v/>
      </c>
      <c r="H292" s="38" t="str">
        <f>_xlfn.XLOOKUP(A292,Foglio1!A:A,Foglio1!G:G,"")</f>
        <v/>
      </c>
    </row>
    <row r="293" spans="1:8" x14ac:dyDescent="0.3">
      <c r="A293" t="s">
        <v>106</v>
      </c>
      <c r="B293" t="s">
        <v>25</v>
      </c>
      <c r="C293">
        <v>25</v>
      </c>
      <c r="D293" t="s">
        <v>16</v>
      </c>
      <c r="E293" t="s">
        <v>88</v>
      </c>
      <c r="G293" s="36" t="str">
        <f t="shared" si="4"/>
        <v/>
      </c>
      <c r="H293" s="38" t="str">
        <f>_xlfn.XLOOKUP(A293,Foglio1!A:A,Foglio1!G:G,"")</f>
        <v/>
      </c>
    </row>
    <row r="294" spans="1:8" x14ac:dyDescent="0.3">
      <c r="A294" t="s">
        <v>362</v>
      </c>
      <c r="B294" t="s">
        <v>25</v>
      </c>
      <c r="C294">
        <v>29</v>
      </c>
      <c r="D294" t="s">
        <v>16</v>
      </c>
      <c r="E294" t="s">
        <v>88</v>
      </c>
      <c r="G294" s="36" t="str">
        <f t="shared" si="4"/>
        <v/>
      </c>
      <c r="H294" s="38" t="str">
        <f>_xlfn.XLOOKUP(A294,Foglio1!A:A,Foglio1!G:G,"")</f>
        <v/>
      </c>
    </row>
    <row r="295" spans="1:8" x14ac:dyDescent="0.3">
      <c r="A295" t="s">
        <v>337</v>
      </c>
      <c r="B295" t="s">
        <v>25</v>
      </c>
      <c r="C295">
        <v>27</v>
      </c>
      <c r="D295" t="s">
        <v>20</v>
      </c>
      <c r="E295" t="s">
        <v>96</v>
      </c>
      <c r="G295" s="36" t="str">
        <f t="shared" si="4"/>
        <v/>
      </c>
      <c r="H295" s="38" t="str">
        <f>_xlfn.XLOOKUP(A295,Foglio1!A:A,Foglio1!G:G,"")</f>
        <v/>
      </c>
    </row>
    <row r="296" spans="1:8" x14ac:dyDescent="0.3">
      <c r="A296" t="s">
        <v>413</v>
      </c>
      <c r="B296" t="s">
        <v>25</v>
      </c>
      <c r="C296">
        <v>20</v>
      </c>
      <c r="D296" t="s">
        <v>20</v>
      </c>
      <c r="E296" t="s">
        <v>83</v>
      </c>
      <c r="G296" s="36" t="str">
        <f t="shared" si="4"/>
        <v/>
      </c>
      <c r="H296" s="38" t="str">
        <f>_xlfn.XLOOKUP(A296,Foglio1!A:A,Foglio1!G:G,"")</f>
        <v/>
      </c>
    </row>
    <row r="297" spans="1:8" x14ac:dyDescent="0.3">
      <c r="A297" t="s">
        <v>510</v>
      </c>
      <c r="B297" t="s">
        <v>25</v>
      </c>
      <c r="C297">
        <v>18</v>
      </c>
      <c r="D297" t="s">
        <v>20</v>
      </c>
      <c r="E297" t="s">
        <v>27</v>
      </c>
      <c r="G297" s="36" t="str">
        <f t="shared" si="4"/>
        <v/>
      </c>
      <c r="H297" s="38" t="str">
        <f>_xlfn.XLOOKUP(A297,Foglio1!A:A,Foglio1!G:G,"")</f>
        <v/>
      </c>
    </row>
    <row r="298" spans="1:8" x14ac:dyDescent="0.3">
      <c r="A298" t="s">
        <v>196</v>
      </c>
      <c r="B298" t="s">
        <v>25</v>
      </c>
      <c r="C298">
        <v>27</v>
      </c>
      <c r="D298" t="s">
        <v>20</v>
      </c>
      <c r="E298" t="s">
        <v>27</v>
      </c>
      <c r="G298" s="36" t="str">
        <f t="shared" si="4"/>
        <v/>
      </c>
      <c r="H298" s="38" t="str">
        <f>_xlfn.XLOOKUP(A298,Foglio1!A:A,Foglio1!G:G,"")</f>
        <v/>
      </c>
    </row>
    <row r="299" spans="1:8" x14ac:dyDescent="0.3">
      <c r="A299" t="s">
        <v>331</v>
      </c>
      <c r="B299" t="s">
        <v>25</v>
      </c>
      <c r="C299">
        <v>24</v>
      </c>
      <c r="D299" t="s">
        <v>20</v>
      </c>
      <c r="E299" t="s">
        <v>20</v>
      </c>
      <c r="G299" s="36" t="str">
        <f t="shared" si="4"/>
        <v/>
      </c>
      <c r="H299" s="38" t="str">
        <f>_xlfn.XLOOKUP(A299,Foglio1!A:A,Foglio1!G:G,"")</f>
        <v/>
      </c>
    </row>
    <row r="300" spans="1:8" x14ac:dyDescent="0.3">
      <c r="A300" t="s">
        <v>338</v>
      </c>
      <c r="B300" t="s">
        <v>25</v>
      </c>
      <c r="C300">
        <v>30</v>
      </c>
      <c r="D300" t="s">
        <v>20</v>
      </c>
      <c r="E300" t="s">
        <v>23</v>
      </c>
      <c r="G300" s="36" t="str">
        <f t="shared" si="4"/>
        <v/>
      </c>
      <c r="H300" s="38" t="str">
        <f>_xlfn.XLOOKUP(A300,Foglio1!A:A,Foglio1!G:G,"")</f>
        <v/>
      </c>
    </row>
    <row r="301" spans="1:8" x14ac:dyDescent="0.3">
      <c r="A301" t="s">
        <v>99</v>
      </c>
      <c r="B301" t="s">
        <v>25</v>
      </c>
      <c r="C301">
        <v>41</v>
      </c>
      <c r="D301" t="s">
        <v>20</v>
      </c>
      <c r="E301" t="s">
        <v>27</v>
      </c>
      <c r="G301" s="36" t="str">
        <f t="shared" si="4"/>
        <v/>
      </c>
      <c r="H301" s="38" t="str">
        <f>_xlfn.XLOOKUP(A301,Foglio1!A:A,Foglio1!G:G,"")</f>
        <v/>
      </c>
    </row>
    <row r="302" spans="1:8" x14ac:dyDescent="0.3">
      <c r="A302" t="s">
        <v>95</v>
      </c>
      <c r="B302" t="s">
        <v>25</v>
      </c>
      <c r="C302">
        <v>22</v>
      </c>
      <c r="D302" t="s">
        <v>20</v>
      </c>
      <c r="E302" t="s">
        <v>96</v>
      </c>
      <c r="G302" s="36" t="str">
        <f t="shared" si="4"/>
        <v/>
      </c>
      <c r="H302" s="38" t="str">
        <f>_xlfn.XLOOKUP(A302,Foglio1!A:A,Foglio1!G:G,"")</f>
        <v/>
      </c>
    </row>
    <row r="303" spans="1:8" x14ac:dyDescent="0.3">
      <c r="A303" t="s">
        <v>451</v>
      </c>
      <c r="B303" t="s">
        <v>25</v>
      </c>
      <c r="C303">
        <v>24</v>
      </c>
      <c r="D303" t="s">
        <v>20</v>
      </c>
      <c r="E303" t="s">
        <v>452</v>
      </c>
      <c r="G303" s="36" t="str">
        <f t="shared" si="4"/>
        <v/>
      </c>
      <c r="H303" s="38" t="str">
        <f>_xlfn.XLOOKUP(A303,Foglio1!A:A,Foglio1!G:G,"")</f>
        <v/>
      </c>
    </row>
    <row r="304" spans="1:8" x14ac:dyDescent="0.3">
      <c r="A304" t="s">
        <v>36</v>
      </c>
      <c r="B304" t="s">
        <v>25</v>
      </c>
      <c r="C304">
        <v>28</v>
      </c>
      <c r="D304" t="s">
        <v>20</v>
      </c>
      <c r="E304" t="s">
        <v>21</v>
      </c>
      <c r="G304" s="36" t="str">
        <f t="shared" si="4"/>
        <v/>
      </c>
      <c r="H304" s="38" t="str">
        <f>_xlfn.XLOOKUP(A304,Foglio1!A:A,Foglio1!G:G,"")</f>
        <v/>
      </c>
    </row>
    <row r="305" spans="1:8" x14ac:dyDescent="0.3">
      <c r="A305" t="s">
        <v>40</v>
      </c>
      <c r="B305" t="s">
        <v>25</v>
      </c>
      <c r="C305">
        <v>31</v>
      </c>
      <c r="D305" t="s">
        <v>20</v>
      </c>
      <c r="E305" t="s">
        <v>23</v>
      </c>
      <c r="G305" s="36" t="str">
        <f t="shared" si="4"/>
        <v/>
      </c>
      <c r="H305" s="38" t="str">
        <f>_xlfn.XLOOKUP(A305,Foglio1!A:A,Foglio1!G:G,"")</f>
        <v/>
      </c>
    </row>
    <row r="306" spans="1:8" x14ac:dyDescent="0.3">
      <c r="A306" t="s">
        <v>335</v>
      </c>
      <c r="B306" t="s">
        <v>25</v>
      </c>
      <c r="C306">
        <v>25</v>
      </c>
      <c r="D306" t="s">
        <v>20</v>
      </c>
      <c r="E306" t="s">
        <v>27</v>
      </c>
      <c r="G306" s="36" t="str">
        <f t="shared" si="4"/>
        <v/>
      </c>
      <c r="H306" s="38" t="str">
        <f>_xlfn.XLOOKUP(A306,Foglio1!A:A,Foglio1!G:G,"")</f>
        <v/>
      </c>
    </row>
    <row r="307" spans="1:8" x14ac:dyDescent="0.3">
      <c r="A307" t="s">
        <v>116</v>
      </c>
      <c r="B307" t="s">
        <v>25</v>
      </c>
      <c r="C307">
        <v>27</v>
      </c>
      <c r="D307" t="s">
        <v>20</v>
      </c>
      <c r="E307" t="s">
        <v>17</v>
      </c>
      <c r="G307" s="36" t="str">
        <f t="shared" si="4"/>
        <v/>
      </c>
      <c r="H307" s="38" t="str">
        <f>_xlfn.XLOOKUP(A307,Foglio1!A:A,Foglio1!G:G,"")</f>
        <v/>
      </c>
    </row>
    <row r="308" spans="1:8" x14ac:dyDescent="0.3">
      <c r="A308" t="s">
        <v>218</v>
      </c>
      <c r="B308" t="s">
        <v>25</v>
      </c>
      <c r="C308">
        <v>18</v>
      </c>
      <c r="D308" t="s">
        <v>8</v>
      </c>
      <c r="E308" t="s">
        <v>9</v>
      </c>
      <c r="G308" s="36" t="str">
        <f t="shared" si="4"/>
        <v/>
      </c>
      <c r="H308" s="38" t="str">
        <f>_xlfn.XLOOKUP(A308,Foglio1!A:A,Foglio1!G:G,"")</f>
        <v/>
      </c>
    </row>
    <row r="309" spans="1:8" x14ac:dyDescent="0.3">
      <c r="A309" t="s">
        <v>285</v>
      </c>
      <c r="B309" t="s">
        <v>25</v>
      </c>
      <c r="C309">
        <v>25</v>
      </c>
      <c r="D309" t="s">
        <v>8</v>
      </c>
      <c r="E309" t="s">
        <v>9</v>
      </c>
      <c r="G309" s="36" t="str">
        <f t="shared" si="4"/>
        <v/>
      </c>
      <c r="H309" s="38" t="str">
        <f>_xlfn.XLOOKUP(A309,Foglio1!A:A,Foglio1!G:G,"")</f>
        <v/>
      </c>
    </row>
    <row r="310" spans="1:8" x14ac:dyDescent="0.3">
      <c r="A310" t="s">
        <v>43</v>
      </c>
      <c r="B310" t="s">
        <v>25</v>
      </c>
      <c r="C310">
        <v>27</v>
      </c>
      <c r="D310" t="s">
        <v>8</v>
      </c>
      <c r="E310" t="s">
        <v>8</v>
      </c>
      <c r="G310" s="36" t="str">
        <f t="shared" si="4"/>
        <v/>
      </c>
      <c r="H310" s="38" t="str">
        <f>_xlfn.XLOOKUP(A310,Foglio1!A:A,Foglio1!G:G,"")</f>
        <v/>
      </c>
    </row>
    <row r="311" spans="1:8" x14ac:dyDescent="0.3">
      <c r="A311" t="s">
        <v>179</v>
      </c>
      <c r="B311" t="s">
        <v>25</v>
      </c>
      <c r="C311">
        <v>29</v>
      </c>
      <c r="D311" t="s">
        <v>8</v>
      </c>
      <c r="E311" t="s">
        <v>8</v>
      </c>
      <c r="G311" s="36" t="str">
        <f t="shared" si="4"/>
        <v/>
      </c>
      <c r="H311" s="38" t="str">
        <f>_xlfn.XLOOKUP(A311,Foglio1!A:A,Foglio1!G:G,"")</f>
        <v/>
      </c>
    </row>
    <row r="312" spans="1:8" x14ac:dyDescent="0.3">
      <c r="A312" t="s">
        <v>24</v>
      </c>
      <c r="B312" t="s">
        <v>25</v>
      </c>
      <c r="C312">
        <v>25</v>
      </c>
      <c r="D312" t="s">
        <v>8</v>
      </c>
      <c r="E312" t="s">
        <v>9</v>
      </c>
      <c r="G312" s="36" t="str">
        <f t="shared" si="4"/>
        <v/>
      </c>
      <c r="H312" s="38" t="str">
        <f>_xlfn.XLOOKUP(A312,Foglio1!A:A,Foglio1!G:G,"")</f>
        <v/>
      </c>
    </row>
    <row r="313" spans="1:8" x14ac:dyDescent="0.3">
      <c r="A313" t="s">
        <v>544</v>
      </c>
      <c r="B313" t="s">
        <v>142</v>
      </c>
      <c r="C313">
        <v>25</v>
      </c>
      <c r="D313" t="s">
        <v>71</v>
      </c>
      <c r="E313" t="s">
        <v>72</v>
      </c>
      <c r="G313" s="36" t="str">
        <f t="shared" si="4"/>
        <v/>
      </c>
      <c r="H313" s="38">
        <f>_xlfn.XLOOKUP(A313,Foglio1!A:A,Foglio1!G:G,"")</f>
        <v>3.9</v>
      </c>
    </row>
    <row r="314" spans="1:8" x14ac:dyDescent="0.3">
      <c r="A314" t="s">
        <v>535</v>
      </c>
      <c r="B314" t="s">
        <v>142</v>
      </c>
      <c r="C314">
        <v>19</v>
      </c>
      <c r="D314" t="s">
        <v>71</v>
      </c>
      <c r="E314" t="s">
        <v>72</v>
      </c>
      <c r="G314" s="36" t="str">
        <f t="shared" si="4"/>
        <v/>
      </c>
      <c r="H314" s="38" t="str">
        <f>_xlfn.XLOOKUP(A314,Foglio1!A:A,Foglio1!G:G,"")</f>
        <v/>
      </c>
    </row>
    <row r="315" spans="1:8" x14ac:dyDescent="0.3">
      <c r="A315" t="s">
        <v>366</v>
      </c>
      <c r="B315" t="s">
        <v>142</v>
      </c>
      <c r="C315">
        <v>28</v>
      </c>
      <c r="D315" t="s">
        <v>71</v>
      </c>
      <c r="E315" t="s">
        <v>72</v>
      </c>
      <c r="G315" s="36" t="str">
        <f t="shared" si="4"/>
        <v/>
      </c>
      <c r="H315" s="38" t="str">
        <f>_xlfn.XLOOKUP(A315,Foglio1!A:A,Foglio1!G:G,"")</f>
        <v/>
      </c>
    </row>
    <row r="316" spans="1:8" x14ac:dyDescent="0.3">
      <c r="A316" t="s">
        <v>527</v>
      </c>
      <c r="B316" t="s">
        <v>142</v>
      </c>
      <c r="C316">
        <v>26</v>
      </c>
      <c r="D316" t="s">
        <v>16</v>
      </c>
      <c r="E316" t="s">
        <v>88</v>
      </c>
      <c r="G316" s="36" t="str">
        <f t="shared" si="4"/>
        <v/>
      </c>
      <c r="H316" s="38" t="str">
        <f>_xlfn.XLOOKUP(A316,Foglio1!A:A,Foglio1!G:G,"")</f>
        <v/>
      </c>
    </row>
    <row r="317" spans="1:8" x14ac:dyDescent="0.3">
      <c r="A317" t="s">
        <v>485</v>
      </c>
      <c r="B317" t="s">
        <v>142</v>
      </c>
      <c r="C317">
        <v>20</v>
      </c>
      <c r="D317" t="s">
        <v>16</v>
      </c>
      <c r="E317" t="s">
        <v>131</v>
      </c>
      <c r="G317" s="36" t="str">
        <f t="shared" si="4"/>
        <v/>
      </c>
      <c r="H317" s="38">
        <f>_xlfn.XLOOKUP(A317,Foglio1!A:A,Foglio1!G:G,"")</f>
        <v>6.6</v>
      </c>
    </row>
    <row r="318" spans="1:8" x14ac:dyDescent="0.3">
      <c r="A318" t="s">
        <v>356</v>
      </c>
      <c r="B318" t="s">
        <v>142</v>
      </c>
      <c r="C318">
        <v>27</v>
      </c>
      <c r="D318" t="s">
        <v>16</v>
      </c>
      <c r="E318" t="s">
        <v>174</v>
      </c>
      <c r="G318" s="36" t="str">
        <f t="shared" si="4"/>
        <v/>
      </c>
      <c r="H318" s="38">
        <f>_xlfn.XLOOKUP(A318,Foglio1!A:A,Foglio1!G:G,"")</f>
        <v>6.2</v>
      </c>
    </row>
    <row r="319" spans="1:8" x14ac:dyDescent="0.3">
      <c r="A319" t="s">
        <v>404</v>
      </c>
      <c r="B319" t="s">
        <v>142</v>
      </c>
      <c r="C319">
        <v>25</v>
      </c>
      <c r="D319" t="s">
        <v>16</v>
      </c>
      <c r="E319" t="s">
        <v>146</v>
      </c>
      <c r="G319" s="36" t="str">
        <f t="shared" si="4"/>
        <v/>
      </c>
      <c r="H319" s="38">
        <f>_xlfn.XLOOKUP(A319,Foglio1!A:A,Foglio1!G:G,"")</f>
        <v>6.2</v>
      </c>
    </row>
    <row r="320" spans="1:8" x14ac:dyDescent="0.3">
      <c r="A320" t="s">
        <v>365</v>
      </c>
      <c r="B320" t="s">
        <v>142</v>
      </c>
      <c r="C320">
        <v>27</v>
      </c>
      <c r="D320" t="s">
        <v>16</v>
      </c>
      <c r="E320" t="s">
        <v>88</v>
      </c>
      <c r="G320" s="36" t="str">
        <f t="shared" si="4"/>
        <v/>
      </c>
      <c r="H320" s="38" t="str">
        <f>_xlfn.XLOOKUP(A320,Foglio1!A:A,Foglio1!G:G,"")</f>
        <v/>
      </c>
    </row>
    <row r="321" spans="1:8" x14ac:dyDescent="0.3">
      <c r="A321" t="s">
        <v>392</v>
      </c>
      <c r="B321" t="s">
        <v>142</v>
      </c>
      <c r="C321">
        <v>20</v>
      </c>
      <c r="D321" t="s">
        <v>16</v>
      </c>
      <c r="E321" t="s">
        <v>111</v>
      </c>
      <c r="G321" s="36" t="str">
        <f t="shared" si="4"/>
        <v/>
      </c>
      <c r="H321" s="38">
        <f>_xlfn.XLOOKUP(A321,Foglio1!A:A,Foglio1!G:G,"")</f>
        <v>6.3</v>
      </c>
    </row>
    <row r="322" spans="1:8" x14ac:dyDescent="0.3">
      <c r="A322" t="s">
        <v>352</v>
      </c>
      <c r="B322" t="s">
        <v>142</v>
      </c>
      <c r="C322">
        <v>23</v>
      </c>
      <c r="D322" t="s">
        <v>16</v>
      </c>
      <c r="E322" t="s">
        <v>88</v>
      </c>
      <c r="G322" s="36" t="str">
        <f t="shared" si="4"/>
        <v/>
      </c>
      <c r="H322" s="38">
        <f>_xlfn.XLOOKUP(A322,Foglio1!A:A,Foglio1!G:G,"")</f>
        <v>6.2</v>
      </c>
    </row>
    <row r="323" spans="1:8" x14ac:dyDescent="0.3">
      <c r="A323" t="s">
        <v>273</v>
      </c>
      <c r="B323" t="s">
        <v>142</v>
      </c>
      <c r="C323">
        <v>28</v>
      </c>
      <c r="D323" t="s">
        <v>16</v>
      </c>
      <c r="E323" t="s">
        <v>188</v>
      </c>
      <c r="G323" s="36" t="str">
        <f t="shared" si="4"/>
        <v/>
      </c>
      <c r="H323" s="38">
        <f>_xlfn.XLOOKUP(A323,Foglio1!A:A,Foglio1!G:G,"")</f>
        <v>5.6</v>
      </c>
    </row>
    <row r="324" spans="1:8" x14ac:dyDescent="0.3">
      <c r="A324" t="s">
        <v>268</v>
      </c>
      <c r="B324" t="s">
        <v>142</v>
      </c>
      <c r="C324">
        <v>22</v>
      </c>
      <c r="D324" t="s">
        <v>20</v>
      </c>
      <c r="E324" t="s">
        <v>20</v>
      </c>
      <c r="G324" s="36" t="str">
        <f t="shared" ref="G324:G388" si="5">IFERROR(AVERAGE(I324:U324),"")</f>
        <v/>
      </c>
      <c r="H324" s="38" t="str">
        <f>_xlfn.XLOOKUP(A324,Foglio1!A:A,Foglio1!G:G,"")</f>
        <v/>
      </c>
    </row>
    <row r="325" spans="1:8" x14ac:dyDescent="0.3">
      <c r="A325" t="s">
        <v>449</v>
      </c>
      <c r="B325" t="s">
        <v>142</v>
      </c>
      <c r="C325">
        <v>31</v>
      </c>
      <c r="D325" t="s">
        <v>20</v>
      </c>
      <c r="E325" t="s">
        <v>17</v>
      </c>
      <c r="G325" s="36" t="str">
        <f t="shared" si="5"/>
        <v/>
      </c>
      <c r="H325" s="38" t="str">
        <f>_xlfn.XLOOKUP(A325,Foglio1!A:A,Foglio1!G:G,"")</f>
        <v/>
      </c>
    </row>
    <row r="326" spans="1:8" x14ac:dyDescent="0.3">
      <c r="A326" t="s">
        <v>412</v>
      </c>
      <c r="B326" t="s">
        <v>142</v>
      </c>
      <c r="C326">
        <v>21</v>
      </c>
      <c r="D326" t="s">
        <v>20</v>
      </c>
      <c r="E326" t="s">
        <v>27</v>
      </c>
      <c r="G326" s="36" t="str">
        <f t="shared" si="5"/>
        <v/>
      </c>
      <c r="H326" s="38" t="str">
        <f>_xlfn.XLOOKUP(A326,Foglio1!A:A,Foglio1!G:G,"")</f>
        <v/>
      </c>
    </row>
    <row r="327" spans="1:8" x14ac:dyDescent="0.3">
      <c r="A327" t="s">
        <v>185</v>
      </c>
      <c r="B327" t="s">
        <v>142</v>
      </c>
      <c r="C327">
        <v>27</v>
      </c>
      <c r="D327" t="s">
        <v>20</v>
      </c>
      <c r="E327" t="s">
        <v>48</v>
      </c>
      <c r="G327" s="36" t="str">
        <f t="shared" si="5"/>
        <v/>
      </c>
      <c r="H327" s="38">
        <f>_xlfn.XLOOKUP(A327,Foglio1!A:A,Foglio1!G:G,"")</f>
        <v>5.7</v>
      </c>
    </row>
    <row r="328" spans="1:8" x14ac:dyDescent="0.3">
      <c r="A328" t="s">
        <v>517</v>
      </c>
      <c r="B328" t="s">
        <v>142</v>
      </c>
      <c r="C328">
        <v>22</v>
      </c>
      <c r="D328" t="s">
        <v>20</v>
      </c>
      <c r="E328" t="s">
        <v>83</v>
      </c>
      <c r="G328" s="36" t="str">
        <f t="shared" si="5"/>
        <v/>
      </c>
      <c r="H328" s="38">
        <f>_xlfn.XLOOKUP(A328,Foglio1!A:A,Foglio1!G:G,"")</f>
        <v>6.4</v>
      </c>
    </row>
    <row r="329" spans="1:8" x14ac:dyDescent="0.3">
      <c r="A329" t="s">
        <v>271</v>
      </c>
      <c r="B329" t="s">
        <v>142</v>
      </c>
      <c r="C329">
        <v>29</v>
      </c>
      <c r="D329" t="s">
        <v>20</v>
      </c>
      <c r="E329" t="s">
        <v>27</v>
      </c>
      <c r="G329" s="36" t="str">
        <f t="shared" si="5"/>
        <v/>
      </c>
      <c r="H329" s="38" t="str">
        <f>_xlfn.XLOOKUP(A329,Foglio1!A:A,Foglio1!G:G,"")</f>
        <v/>
      </c>
    </row>
    <row r="330" spans="1:8" x14ac:dyDescent="0.3">
      <c r="A330" t="s">
        <v>264</v>
      </c>
      <c r="B330" t="s">
        <v>142</v>
      </c>
      <c r="C330">
        <v>28</v>
      </c>
      <c r="D330" t="s">
        <v>20</v>
      </c>
      <c r="E330" t="s">
        <v>265</v>
      </c>
      <c r="G330" s="36" t="str">
        <f t="shared" si="5"/>
        <v/>
      </c>
      <c r="H330" s="38" t="str">
        <f>_xlfn.XLOOKUP(A330,Foglio1!A:A,Foglio1!G:G,"")</f>
        <v/>
      </c>
    </row>
    <row r="331" spans="1:8" x14ac:dyDescent="0.3">
      <c r="A331" t="s">
        <v>141</v>
      </c>
      <c r="B331" t="s">
        <v>142</v>
      </c>
      <c r="C331">
        <v>28</v>
      </c>
      <c r="D331" t="s">
        <v>8</v>
      </c>
      <c r="E331" t="s">
        <v>9</v>
      </c>
      <c r="G331" s="36" t="str">
        <f t="shared" si="5"/>
        <v/>
      </c>
      <c r="H331" s="38">
        <f>_xlfn.XLOOKUP(A331,Foglio1!A:A,Foglio1!G:G,"")</f>
        <v>6.4</v>
      </c>
    </row>
    <row r="332" spans="1:8" x14ac:dyDescent="0.3">
      <c r="A332" t="s">
        <v>240</v>
      </c>
      <c r="B332" t="s">
        <v>142</v>
      </c>
      <c r="C332">
        <v>28</v>
      </c>
      <c r="D332" t="s">
        <v>8</v>
      </c>
      <c r="E332" t="s">
        <v>8</v>
      </c>
      <c r="G332" s="36" t="str">
        <f t="shared" si="5"/>
        <v/>
      </c>
      <c r="H332" s="38" t="str">
        <f>_xlfn.XLOOKUP(A332,Foglio1!A:A,Foglio1!G:G,"")</f>
        <v/>
      </c>
    </row>
    <row r="333" spans="1:8" x14ac:dyDescent="0.3">
      <c r="A333" t="s">
        <v>367</v>
      </c>
      <c r="B333" t="s">
        <v>142</v>
      </c>
      <c r="C333">
        <v>19</v>
      </c>
      <c r="D333" t="s">
        <v>8</v>
      </c>
      <c r="E333" t="s">
        <v>8</v>
      </c>
      <c r="G333" s="36" t="str">
        <f t="shared" si="5"/>
        <v/>
      </c>
      <c r="H333" s="38" t="str">
        <f>_xlfn.XLOOKUP(A333,Foglio1!A:A,Foglio1!G:G,"")</f>
        <v/>
      </c>
    </row>
    <row r="334" spans="1:8" x14ac:dyDescent="0.3">
      <c r="A334" t="s">
        <v>410</v>
      </c>
      <c r="B334" t="s">
        <v>142</v>
      </c>
      <c r="C334">
        <v>21</v>
      </c>
      <c r="D334" t="s">
        <v>8</v>
      </c>
      <c r="E334" t="s">
        <v>9</v>
      </c>
      <c r="G334" s="36" t="str">
        <f t="shared" si="5"/>
        <v/>
      </c>
      <c r="H334" s="38">
        <f>_xlfn.XLOOKUP(A334,Foglio1!A:A,Foglio1!G:G,"")</f>
        <v>6.4</v>
      </c>
    </row>
    <row r="335" spans="1:8" x14ac:dyDescent="0.3">
      <c r="A335" t="s">
        <v>555</v>
      </c>
      <c r="B335" t="s">
        <v>14</v>
      </c>
      <c r="C335">
        <v>30</v>
      </c>
      <c r="D335" t="s">
        <v>71</v>
      </c>
      <c r="E335" t="s">
        <v>72</v>
      </c>
      <c r="G335" s="36" t="str">
        <f t="shared" si="5"/>
        <v/>
      </c>
      <c r="H335" s="38" t="str">
        <f>_xlfn.XLOOKUP(A335,Foglio1!A:A,Foglio1!G:G,"")</f>
        <v/>
      </c>
    </row>
    <row r="336" spans="1:8" x14ac:dyDescent="0.3">
      <c r="A336" t="s">
        <v>113</v>
      </c>
      <c r="B336" t="s">
        <v>14</v>
      </c>
      <c r="C336">
        <v>29</v>
      </c>
      <c r="D336" t="s">
        <v>71</v>
      </c>
      <c r="E336" t="s">
        <v>72</v>
      </c>
      <c r="G336" s="36" t="str">
        <f t="shared" si="5"/>
        <v/>
      </c>
      <c r="H336" s="38">
        <f>_xlfn.XLOOKUP(A336,Foglio1!A:A,Foglio1!G:G,"")</f>
        <v>6.7</v>
      </c>
    </row>
    <row r="337" spans="1:8" x14ac:dyDescent="0.3">
      <c r="A337" t="s">
        <v>409</v>
      </c>
      <c r="B337" t="s">
        <v>14</v>
      </c>
      <c r="C337">
        <v>29</v>
      </c>
      <c r="D337" t="s">
        <v>71</v>
      </c>
      <c r="E337" t="s">
        <v>72</v>
      </c>
      <c r="G337" s="36" t="str">
        <f t="shared" si="5"/>
        <v/>
      </c>
      <c r="H337" s="38" t="str">
        <f>_xlfn.XLOOKUP(A337,Foglio1!A:A,Foglio1!G:G,"")</f>
        <v/>
      </c>
    </row>
    <row r="338" spans="1:8" x14ac:dyDescent="0.3">
      <c r="A338" t="s">
        <v>313</v>
      </c>
      <c r="B338" t="s">
        <v>14</v>
      </c>
      <c r="C338">
        <v>28</v>
      </c>
      <c r="D338" t="s">
        <v>16</v>
      </c>
      <c r="E338" t="s">
        <v>88</v>
      </c>
      <c r="G338" s="36" t="str">
        <f t="shared" si="5"/>
        <v/>
      </c>
      <c r="H338" s="38" t="str">
        <f>_xlfn.XLOOKUP(A338,Foglio1!A:A,Foglio1!G:G,"")</f>
        <v/>
      </c>
    </row>
    <row r="339" spans="1:8" x14ac:dyDescent="0.3">
      <c r="A339" t="s">
        <v>281</v>
      </c>
      <c r="B339" t="s">
        <v>14</v>
      </c>
      <c r="C339">
        <v>27</v>
      </c>
      <c r="D339" t="s">
        <v>16</v>
      </c>
      <c r="E339" t="s">
        <v>88</v>
      </c>
      <c r="G339" s="36" t="str">
        <f t="shared" si="5"/>
        <v/>
      </c>
      <c r="H339" s="38" t="str">
        <f>_xlfn.XLOOKUP(A339,Foglio1!A:A,Foglio1!G:G,"")</f>
        <v/>
      </c>
    </row>
    <row r="340" spans="1:8" x14ac:dyDescent="0.3">
      <c r="A340" t="s">
        <v>130</v>
      </c>
      <c r="B340" t="s">
        <v>14</v>
      </c>
      <c r="C340">
        <v>33</v>
      </c>
      <c r="D340" t="s">
        <v>16</v>
      </c>
      <c r="E340" t="s">
        <v>131</v>
      </c>
      <c r="G340" s="36" t="str">
        <f t="shared" si="5"/>
        <v/>
      </c>
      <c r="H340" s="38">
        <f>_xlfn.XLOOKUP(A340,Foglio1!A:A,Foglio1!G:G,"")</f>
        <v>7.9</v>
      </c>
    </row>
    <row r="341" spans="1:8" x14ac:dyDescent="0.3">
      <c r="A341" t="s">
        <v>342</v>
      </c>
      <c r="B341" t="s">
        <v>14</v>
      </c>
      <c r="C341">
        <v>22</v>
      </c>
      <c r="D341" t="s">
        <v>16</v>
      </c>
      <c r="E341" t="s">
        <v>174</v>
      </c>
      <c r="G341" s="36" t="str">
        <f t="shared" si="5"/>
        <v/>
      </c>
      <c r="H341" s="38" t="str">
        <f>_xlfn.XLOOKUP(A341,Foglio1!A:A,Foglio1!G:G,"")</f>
        <v/>
      </c>
    </row>
    <row r="342" spans="1:8" x14ac:dyDescent="0.3">
      <c r="A342" t="s">
        <v>492</v>
      </c>
      <c r="B342" t="s">
        <v>14</v>
      </c>
      <c r="C342">
        <v>22</v>
      </c>
      <c r="D342" t="s">
        <v>16</v>
      </c>
      <c r="E342" t="s">
        <v>88</v>
      </c>
      <c r="G342" s="36" t="str">
        <f t="shared" si="5"/>
        <v/>
      </c>
      <c r="H342" s="38" t="str">
        <f>_xlfn.XLOOKUP(A342,Foglio1!A:A,Foglio1!G:G,"")</f>
        <v/>
      </c>
    </row>
    <row r="343" spans="1:8" x14ac:dyDescent="0.3">
      <c r="A343" t="s">
        <v>459</v>
      </c>
      <c r="B343" t="s">
        <v>14</v>
      </c>
      <c r="C343">
        <v>24</v>
      </c>
      <c r="D343" t="s">
        <v>16</v>
      </c>
      <c r="E343" t="s">
        <v>88</v>
      </c>
      <c r="G343" s="36" t="str">
        <f t="shared" si="5"/>
        <v/>
      </c>
      <c r="H343" s="38">
        <f>_xlfn.XLOOKUP(A343,Foglio1!A:A,Foglio1!G:G,"")</f>
        <v>6.8</v>
      </c>
    </row>
    <row r="344" spans="1:8" x14ac:dyDescent="0.3">
      <c r="A344" t="s">
        <v>498</v>
      </c>
      <c r="B344" t="s">
        <v>14</v>
      </c>
      <c r="C344">
        <v>31</v>
      </c>
      <c r="D344" t="s">
        <v>16</v>
      </c>
      <c r="E344" t="s">
        <v>174</v>
      </c>
      <c r="G344" s="36" t="str">
        <f t="shared" si="5"/>
        <v/>
      </c>
      <c r="H344" s="38" t="str">
        <f>_xlfn.XLOOKUP(A344,Foglio1!A:A,Foglio1!G:G,"")</f>
        <v/>
      </c>
    </row>
    <row r="345" spans="1:8" x14ac:dyDescent="0.3">
      <c r="A345" t="s">
        <v>314</v>
      </c>
      <c r="B345" t="s">
        <v>14</v>
      </c>
      <c r="C345">
        <v>29</v>
      </c>
      <c r="D345" t="s">
        <v>16</v>
      </c>
      <c r="E345" t="s">
        <v>171</v>
      </c>
      <c r="G345" s="36" t="str">
        <f t="shared" si="5"/>
        <v/>
      </c>
      <c r="H345" s="38" t="str">
        <f>_xlfn.XLOOKUP(A345,Foglio1!A:A,Foglio1!G:G,"")</f>
        <v/>
      </c>
    </row>
    <row r="346" spans="1:8" x14ac:dyDescent="0.3">
      <c r="A346" t="s">
        <v>107</v>
      </c>
      <c r="B346" t="s">
        <v>14</v>
      </c>
      <c r="C346">
        <v>32</v>
      </c>
      <c r="D346" t="s">
        <v>16</v>
      </c>
      <c r="E346" t="s">
        <v>88</v>
      </c>
      <c r="G346" s="36" t="str">
        <f t="shared" si="5"/>
        <v/>
      </c>
      <c r="H346" s="38">
        <f>_xlfn.XLOOKUP(A346,Foglio1!A:A,Foglio1!G:G,"")</f>
        <v>9</v>
      </c>
    </row>
    <row r="347" spans="1:8" x14ac:dyDescent="0.3">
      <c r="A347" t="s">
        <v>203</v>
      </c>
      <c r="B347" t="s">
        <v>14</v>
      </c>
      <c r="C347">
        <v>33</v>
      </c>
      <c r="D347" t="s">
        <v>16</v>
      </c>
      <c r="E347" t="s">
        <v>188</v>
      </c>
      <c r="G347" s="36" t="str">
        <f t="shared" si="5"/>
        <v/>
      </c>
      <c r="H347" s="38">
        <f>_xlfn.XLOOKUP(A347,Foglio1!A:A,Foglio1!G:G,"")</f>
        <v>7.2</v>
      </c>
    </row>
    <row r="348" spans="1:8" x14ac:dyDescent="0.3">
      <c r="A348" t="s">
        <v>51</v>
      </c>
      <c r="B348" t="s">
        <v>14</v>
      </c>
      <c r="C348">
        <v>35</v>
      </c>
      <c r="D348" t="s">
        <v>20</v>
      </c>
      <c r="E348" t="s">
        <v>48</v>
      </c>
      <c r="G348" s="36" t="str">
        <f t="shared" si="5"/>
        <v/>
      </c>
      <c r="H348" s="38">
        <f>_xlfn.XLOOKUP(A348,Foglio1!A:A,Foglio1!G:G,"")</f>
        <v>8.6</v>
      </c>
    </row>
    <row r="349" spans="1:8" x14ac:dyDescent="0.3">
      <c r="A349" t="s">
        <v>382</v>
      </c>
      <c r="B349" t="s">
        <v>14</v>
      </c>
      <c r="C349">
        <v>28</v>
      </c>
      <c r="D349" t="s">
        <v>20</v>
      </c>
      <c r="E349" t="s">
        <v>23</v>
      </c>
      <c r="G349" s="36" t="str">
        <f t="shared" si="5"/>
        <v/>
      </c>
      <c r="H349" s="38" t="str">
        <f>_xlfn.XLOOKUP(A349,Foglio1!A:A,Foglio1!G:G,"")</f>
        <v/>
      </c>
    </row>
    <row r="350" spans="1:8" x14ac:dyDescent="0.3">
      <c r="A350" t="s">
        <v>385</v>
      </c>
      <c r="B350" t="s">
        <v>14</v>
      </c>
      <c r="C350">
        <v>25</v>
      </c>
      <c r="D350" t="s">
        <v>20</v>
      </c>
      <c r="E350" t="s">
        <v>27</v>
      </c>
      <c r="G350" s="36" t="str">
        <f t="shared" si="5"/>
        <v/>
      </c>
      <c r="H350" s="38" t="str">
        <f>_xlfn.XLOOKUP(A350,Foglio1!A:A,Foglio1!G:G,"")</f>
        <v/>
      </c>
    </row>
    <row r="351" spans="1:8" x14ac:dyDescent="0.3">
      <c r="A351" t="s">
        <v>228</v>
      </c>
      <c r="B351" t="s">
        <v>14</v>
      </c>
      <c r="C351">
        <v>32</v>
      </c>
      <c r="D351" t="s">
        <v>20</v>
      </c>
      <c r="E351" t="s">
        <v>27</v>
      </c>
      <c r="G351" s="36" t="str">
        <f t="shared" si="5"/>
        <v/>
      </c>
      <c r="H351" s="38">
        <f>_xlfn.XLOOKUP(A351,Foglio1!A:A,Foglio1!G:G,"")</f>
        <v>8.4</v>
      </c>
    </row>
    <row r="352" spans="1:8" x14ac:dyDescent="0.3">
      <c r="A352" t="s">
        <v>22</v>
      </c>
      <c r="B352" t="s">
        <v>14</v>
      </c>
      <c r="C352">
        <v>30</v>
      </c>
      <c r="D352" t="s">
        <v>20</v>
      </c>
      <c r="E352" t="s">
        <v>23</v>
      </c>
      <c r="G352" s="36" t="str">
        <f t="shared" si="5"/>
        <v/>
      </c>
      <c r="H352" s="38">
        <f>_xlfn.XLOOKUP(A352,Foglio1!A:A,Foglio1!G:G,"")</f>
        <v>6.7</v>
      </c>
    </row>
    <row r="353" spans="1:18" x14ac:dyDescent="0.3">
      <c r="A353" t="s">
        <v>105</v>
      </c>
      <c r="B353" t="s">
        <v>14</v>
      </c>
      <c r="C353">
        <v>33</v>
      </c>
      <c r="D353" t="s">
        <v>20</v>
      </c>
      <c r="E353" t="s">
        <v>96</v>
      </c>
      <c r="G353" s="36" t="str">
        <f t="shared" si="5"/>
        <v/>
      </c>
      <c r="H353" s="38">
        <f>_xlfn.XLOOKUP(A353,Foglio1!A:A,Foglio1!G:G,"")</f>
        <v>6.5</v>
      </c>
    </row>
    <row r="354" spans="1:18" x14ac:dyDescent="0.3">
      <c r="A354" t="s">
        <v>143</v>
      </c>
      <c r="B354" t="s">
        <v>14</v>
      </c>
      <c r="C354">
        <v>23</v>
      </c>
      <c r="D354" t="s">
        <v>20</v>
      </c>
      <c r="E354" t="s">
        <v>83</v>
      </c>
      <c r="G354" s="36" t="str">
        <f t="shared" si="5"/>
        <v/>
      </c>
      <c r="H354" s="38">
        <f>_xlfn.XLOOKUP(A354,Foglio1!A:A,Foglio1!G:G,"")</f>
        <v>8.9</v>
      </c>
    </row>
    <row r="355" spans="1:18" x14ac:dyDescent="0.3">
      <c r="A355" t="s">
        <v>92</v>
      </c>
      <c r="B355" t="s">
        <v>14</v>
      </c>
      <c r="C355">
        <v>31</v>
      </c>
      <c r="D355" t="s">
        <v>20</v>
      </c>
      <c r="E355" t="s">
        <v>20</v>
      </c>
      <c r="G355" s="36" t="str">
        <f t="shared" si="5"/>
        <v/>
      </c>
      <c r="H355" s="38">
        <f>_xlfn.XLOOKUP(A355,Foglio1!A:A,Foglio1!G:G,"")</f>
        <v>6.7</v>
      </c>
    </row>
    <row r="356" spans="1:18" x14ac:dyDescent="0.3">
      <c r="A356" t="s">
        <v>371</v>
      </c>
      <c r="B356" t="s">
        <v>14</v>
      </c>
      <c r="C356">
        <v>23</v>
      </c>
      <c r="D356" t="s">
        <v>8</v>
      </c>
      <c r="E356" t="s">
        <v>8</v>
      </c>
      <c r="G356" s="36" t="str">
        <f t="shared" si="5"/>
        <v/>
      </c>
      <c r="H356" s="38" t="str">
        <f>_xlfn.XLOOKUP(A356,Foglio1!A:A,Foglio1!G:G,"")</f>
        <v/>
      </c>
    </row>
    <row r="357" spans="1:18" x14ac:dyDescent="0.3">
      <c r="A357" t="s">
        <v>13</v>
      </c>
      <c r="B357" t="s">
        <v>14</v>
      </c>
      <c r="C357">
        <v>23</v>
      </c>
      <c r="D357" t="s">
        <v>8</v>
      </c>
      <c r="E357" t="s">
        <v>9</v>
      </c>
      <c r="G357" s="36" t="str">
        <f t="shared" si="5"/>
        <v/>
      </c>
      <c r="H357" s="38">
        <f>_xlfn.XLOOKUP(A357,Foglio1!A:A,Foglio1!G:G,"")</f>
        <v>5.9</v>
      </c>
    </row>
    <row r="358" spans="1:18" x14ac:dyDescent="0.3">
      <c r="A358" t="s">
        <v>372</v>
      </c>
      <c r="B358" t="s">
        <v>14</v>
      </c>
      <c r="C358">
        <v>27</v>
      </c>
      <c r="D358" t="s">
        <v>8</v>
      </c>
      <c r="E358" t="s">
        <v>8</v>
      </c>
      <c r="G358" s="36" t="str">
        <f t="shared" si="5"/>
        <v/>
      </c>
      <c r="H358" s="38">
        <f>_xlfn.XLOOKUP(A358,Foglio1!A:A,Foglio1!G:G,"")</f>
        <v>6.7</v>
      </c>
    </row>
    <row r="359" spans="1:18" x14ac:dyDescent="0.3">
      <c r="A359" t="s">
        <v>376</v>
      </c>
      <c r="B359" t="s">
        <v>14</v>
      </c>
      <c r="C359">
        <v>26</v>
      </c>
      <c r="D359" t="s">
        <v>8</v>
      </c>
      <c r="E359" t="s">
        <v>9</v>
      </c>
      <c r="G359" s="36" t="str">
        <f t="shared" si="5"/>
        <v/>
      </c>
      <c r="H359" s="38">
        <f>_xlfn.XLOOKUP(A359,Foglio1!A:A,Foglio1!G:G,"")</f>
        <v>6.4</v>
      </c>
    </row>
    <row r="360" spans="1:18" x14ac:dyDescent="0.3">
      <c r="A360" t="s">
        <v>206</v>
      </c>
      <c r="B360" t="s">
        <v>14</v>
      </c>
      <c r="C360">
        <v>29</v>
      </c>
      <c r="D360" t="s">
        <v>8</v>
      </c>
      <c r="E360" t="s">
        <v>34</v>
      </c>
      <c r="G360" s="36" t="str">
        <f t="shared" si="5"/>
        <v/>
      </c>
      <c r="H360" s="38" t="str">
        <f>_xlfn.XLOOKUP(A360,Foglio1!A:A,Foglio1!G:G,"")</f>
        <v/>
      </c>
    </row>
    <row r="361" spans="1:18" x14ac:dyDescent="0.3">
      <c r="A361" t="s">
        <v>81</v>
      </c>
      <c r="B361" t="s">
        <v>14</v>
      </c>
      <c r="C361">
        <v>24</v>
      </c>
      <c r="D361" t="s">
        <v>8</v>
      </c>
      <c r="E361" t="s">
        <v>34</v>
      </c>
      <c r="G361" s="36" t="str">
        <f t="shared" si="5"/>
        <v/>
      </c>
      <c r="H361" s="38">
        <f>_xlfn.XLOOKUP(A361,Foglio1!A:A,Foglio1!G:G,"")</f>
        <v>6.6</v>
      </c>
    </row>
    <row r="362" spans="1:18" x14ac:dyDescent="0.3">
      <c r="A362" t="s">
        <v>546</v>
      </c>
      <c r="B362" t="s">
        <v>115</v>
      </c>
      <c r="C362">
        <v>25</v>
      </c>
      <c r="D362" t="s">
        <v>71</v>
      </c>
      <c r="E362" t="s">
        <v>72</v>
      </c>
      <c r="G362" s="36">
        <f t="shared" si="5"/>
        <v>6.9333333333333327</v>
      </c>
      <c r="H362" s="38">
        <f>_xlfn.XLOOKUP(A362,Foglio1!A:A,Foglio1!G:G,"")</f>
        <v>6.5</v>
      </c>
      <c r="I362" s="28">
        <v>6.9</v>
      </c>
      <c r="J362" s="31"/>
      <c r="K362" s="29">
        <v>7.3</v>
      </c>
      <c r="L362" s="29">
        <v>6.6</v>
      </c>
      <c r="R362" s="2"/>
    </row>
    <row r="363" spans="1:18" x14ac:dyDescent="0.3">
      <c r="A363" t="s">
        <v>464</v>
      </c>
      <c r="B363" t="s">
        <v>115</v>
      </c>
      <c r="C363">
        <v>22</v>
      </c>
      <c r="D363" t="s">
        <v>71</v>
      </c>
      <c r="E363" t="s">
        <v>72</v>
      </c>
      <c r="G363" s="36" t="str">
        <f t="shared" si="5"/>
        <v/>
      </c>
      <c r="H363" s="38" t="str">
        <f>_xlfn.XLOOKUP(A363,Foglio1!A:A,Foglio1!G:G,"")</f>
        <v/>
      </c>
    </row>
    <row r="364" spans="1:18" x14ac:dyDescent="0.3">
      <c r="A364" t="s">
        <v>391</v>
      </c>
      <c r="B364" t="s">
        <v>115</v>
      </c>
      <c r="C364">
        <v>20</v>
      </c>
      <c r="D364" t="s">
        <v>16</v>
      </c>
      <c r="E364" t="s">
        <v>174</v>
      </c>
      <c r="G364" s="36">
        <f t="shared" si="5"/>
        <v>6.25</v>
      </c>
      <c r="H364" s="38" t="str">
        <f>_xlfn.XLOOKUP(A364,Foglio1!A:A,Foglio1!G:G,"")</f>
        <v/>
      </c>
      <c r="I364" s="28">
        <v>6.1</v>
      </c>
      <c r="J364" s="33">
        <v>6.4</v>
      </c>
      <c r="R364" s="2"/>
    </row>
    <row r="365" spans="1:18" x14ac:dyDescent="0.3">
      <c r="A365" t="s">
        <v>494</v>
      </c>
      <c r="B365" t="s">
        <v>115</v>
      </c>
      <c r="C365">
        <v>23</v>
      </c>
      <c r="D365" t="s">
        <v>16</v>
      </c>
      <c r="E365" t="s">
        <v>188</v>
      </c>
      <c r="G365" s="36">
        <f>IFERROR(AVERAGE(I365:U365),"")</f>
        <v>6.65</v>
      </c>
      <c r="H365" s="38" t="str">
        <f>_xlfn.XLOOKUP(A365,Foglio1!A:A,Foglio1!G:G,"")</f>
        <v/>
      </c>
      <c r="I365" s="28">
        <v>6.35</v>
      </c>
      <c r="J365" s="28">
        <v>6.6</v>
      </c>
      <c r="K365" s="29">
        <v>6.9</v>
      </c>
      <c r="L365" s="28">
        <v>6.7</v>
      </c>
      <c r="M365" s="29">
        <v>6.7</v>
      </c>
      <c r="Q365"/>
    </row>
    <row r="366" spans="1:18" x14ac:dyDescent="0.3">
      <c r="A366" t="s">
        <v>214</v>
      </c>
      <c r="B366" t="s">
        <v>115</v>
      </c>
      <c r="C366">
        <v>27</v>
      </c>
      <c r="D366" t="s">
        <v>16</v>
      </c>
      <c r="E366" t="s">
        <v>215</v>
      </c>
      <c r="G366" s="36">
        <f t="shared" si="5"/>
        <v>6.7428571428571429</v>
      </c>
      <c r="H366" s="38">
        <f>_xlfn.XLOOKUP(A366,Foglio1!A:A,Foglio1!G:G,"")</f>
        <v>6.3</v>
      </c>
      <c r="I366" s="28">
        <v>6.4</v>
      </c>
      <c r="J366" s="28">
        <v>6.7</v>
      </c>
      <c r="K366" s="29">
        <v>7</v>
      </c>
      <c r="L366" s="29">
        <v>7</v>
      </c>
      <c r="M366" s="29">
        <v>6.8</v>
      </c>
      <c r="N366" s="29">
        <v>6.7</v>
      </c>
      <c r="O366" s="29">
        <v>6.6</v>
      </c>
    </row>
    <row r="367" spans="1:18" x14ac:dyDescent="0.3">
      <c r="A367" t="s">
        <v>489</v>
      </c>
      <c r="B367" t="s">
        <v>115</v>
      </c>
      <c r="C367">
        <v>24</v>
      </c>
      <c r="D367" t="s">
        <v>16</v>
      </c>
      <c r="E367" t="s">
        <v>88</v>
      </c>
      <c r="G367" s="36">
        <f t="shared" si="5"/>
        <v>6.85</v>
      </c>
      <c r="H367" s="38">
        <f>_xlfn.XLOOKUP(A367,Foglio1!A:A,Foglio1!G:G,"")</f>
        <v>5.6</v>
      </c>
      <c r="I367" s="28">
        <v>6.2</v>
      </c>
      <c r="J367" s="33">
        <v>7</v>
      </c>
      <c r="K367" s="33">
        <v>7.1</v>
      </c>
      <c r="L367" s="33">
        <v>7.1</v>
      </c>
    </row>
    <row r="368" spans="1:18" x14ac:dyDescent="0.3">
      <c r="A368" t="s">
        <v>425</v>
      </c>
      <c r="B368" t="s">
        <v>115</v>
      </c>
      <c r="C368">
        <v>23</v>
      </c>
      <c r="D368" t="s">
        <v>16</v>
      </c>
      <c r="E368" t="s">
        <v>88</v>
      </c>
      <c r="G368" s="36">
        <f t="shared" si="5"/>
        <v>6.8</v>
      </c>
      <c r="H368" s="38">
        <f>_xlfn.XLOOKUP(A368,Foglio1!A:A,Foglio1!G:G,"")</f>
        <v>6.7</v>
      </c>
      <c r="I368" s="28">
        <v>6.7</v>
      </c>
      <c r="J368" s="33">
        <v>6.8</v>
      </c>
      <c r="K368" s="33">
        <v>6.9</v>
      </c>
    </row>
    <row r="369" spans="1:17" x14ac:dyDescent="0.3">
      <c r="A369" t="s">
        <v>402</v>
      </c>
      <c r="B369" t="s">
        <v>115</v>
      </c>
      <c r="C369">
        <v>27</v>
      </c>
      <c r="D369" t="s">
        <v>16</v>
      </c>
      <c r="E369" t="s">
        <v>88</v>
      </c>
      <c r="G369" s="36" t="str">
        <f t="shared" si="5"/>
        <v/>
      </c>
      <c r="H369" s="38" t="str">
        <f>_xlfn.XLOOKUP(A369,Foglio1!A:A,Foglio1!G:G,"")</f>
        <v/>
      </c>
    </row>
    <row r="370" spans="1:17" x14ac:dyDescent="0.3">
      <c r="A370" t="s">
        <v>201</v>
      </c>
      <c r="B370" t="s">
        <v>115</v>
      </c>
      <c r="C370">
        <v>28</v>
      </c>
      <c r="D370" t="s">
        <v>16</v>
      </c>
      <c r="E370" t="s">
        <v>188</v>
      </c>
      <c r="G370" s="36">
        <f t="shared" si="5"/>
        <v>6.8500000000000005</v>
      </c>
      <c r="H370" s="38">
        <f>_xlfn.XLOOKUP(A370,Foglio1!A:A,Foglio1!G:G,"")</f>
        <v>6.8</v>
      </c>
      <c r="I370" s="28">
        <v>6.8</v>
      </c>
      <c r="J370" s="28">
        <v>6.8</v>
      </c>
      <c r="K370" s="28">
        <v>6.7</v>
      </c>
      <c r="L370" s="28">
        <v>6.6</v>
      </c>
      <c r="M370" s="29">
        <v>7.1</v>
      </c>
      <c r="N370" s="29">
        <v>7.1</v>
      </c>
    </row>
    <row r="371" spans="1:17" x14ac:dyDescent="0.3">
      <c r="A371" t="s">
        <v>296</v>
      </c>
      <c r="B371" t="s">
        <v>115</v>
      </c>
      <c r="C371">
        <v>27</v>
      </c>
      <c r="D371" t="s">
        <v>20</v>
      </c>
      <c r="E371" t="s">
        <v>34</v>
      </c>
      <c r="G371" s="36">
        <f t="shared" si="5"/>
        <v>6.8571428571428559</v>
      </c>
      <c r="H371" s="38">
        <f>_xlfn.XLOOKUP(A371,Foglio1!A:A,Foglio1!G:G,"")</f>
        <v>6.3</v>
      </c>
      <c r="I371" s="28">
        <v>6.4</v>
      </c>
      <c r="J371" s="28">
        <v>6.6</v>
      </c>
      <c r="K371" s="28">
        <v>6.8</v>
      </c>
      <c r="L371" s="33">
        <v>7.1</v>
      </c>
      <c r="M371" s="33">
        <v>7.3</v>
      </c>
      <c r="N371" s="33">
        <v>6.8</v>
      </c>
      <c r="O371" s="32"/>
      <c r="P371" s="32"/>
      <c r="Q371" s="33">
        <v>7</v>
      </c>
    </row>
    <row r="372" spans="1:17" x14ac:dyDescent="0.3">
      <c r="A372" t="s">
        <v>140</v>
      </c>
      <c r="B372" t="s">
        <v>115</v>
      </c>
      <c r="C372">
        <v>25</v>
      </c>
      <c r="D372" t="s">
        <v>20</v>
      </c>
      <c r="E372" t="s">
        <v>20</v>
      </c>
      <c r="G372" s="36">
        <f t="shared" si="5"/>
        <v>7.2</v>
      </c>
      <c r="H372" s="38">
        <f>_xlfn.XLOOKUP(A372,Foglio1!A:A,Foglio1!G:G,"")</f>
        <v>6.6</v>
      </c>
      <c r="I372" s="28">
        <v>6.9</v>
      </c>
      <c r="J372" s="28">
        <v>7</v>
      </c>
      <c r="K372" s="29">
        <v>7.3</v>
      </c>
      <c r="L372" s="29">
        <v>7.2</v>
      </c>
      <c r="M372" s="29">
        <v>7.6</v>
      </c>
    </row>
    <row r="373" spans="1:17" x14ac:dyDescent="0.3">
      <c r="A373" t="s">
        <v>473</v>
      </c>
      <c r="B373" t="s">
        <v>115</v>
      </c>
      <c r="C373">
        <v>21</v>
      </c>
      <c r="D373" t="s">
        <v>20</v>
      </c>
      <c r="E373" t="s">
        <v>135</v>
      </c>
      <c r="G373" s="36">
        <f t="shared" si="5"/>
        <v>6.7333333333333343</v>
      </c>
      <c r="H373" s="38" t="str">
        <f>_xlfn.XLOOKUP(A373,Foglio1!A:A,Foglio1!G:G,"")</f>
        <v/>
      </c>
      <c r="I373" s="28">
        <v>6.4</v>
      </c>
      <c r="J373" s="33">
        <v>6.9</v>
      </c>
      <c r="K373" s="33">
        <v>6.9</v>
      </c>
    </row>
    <row r="374" spans="1:17" x14ac:dyDescent="0.3">
      <c r="A374" t="s">
        <v>322</v>
      </c>
      <c r="B374" t="s">
        <v>115</v>
      </c>
      <c r="C374">
        <v>19</v>
      </c>
      <c r="D374" t="s">
        <v>20</v>
      </c>
      <c r="E374" t="s">
        <v>34</v>
      </c>
      <c r="G374" s="36" t="str">
        <f t="shared" si="5"/>
        <v/>
      </c>
      <c r="H374" s="38">
        <f>_xlfn.XLOOKUP(A374,Foglio1!A:A,Foglio1!G:G,"")</f>
        <v>6.2</v>
      </c>
    </row>
    <row r="375" spans="1:17" x14ac:dyDescent="0.3">
      <c r="A375" t="s">
        <v>266</v>
      </c>
      <c r="B375" t="s">
        <v>115</v>
      </c>
      <c r="C375">
        <v>24</v>
      </c>
      <c r="D375" t="s">
        <v>20</v>
      </c>
      <c r="E375" t="s">
        <v>27</v>
      </c>
      <c r="G375" s="36">
        <f t="shared" si="5"/>
        <v>6.7700000000000005</v>
      </c>
      <c r="H375" s="38">
        <f>_xlfn.XLOOKUP(A375,Foglio1!A:A,Foglio1!G:G,"")</f>
        <v>6.6</v>
      </c>
      <c r="I375" s="28">
        <v>6.5</v>
      </c>
      <c r="J375" s="28">
        <v>6.8</v>
      </c>
      <c r="K375" s="33">
        <v>7</v>
      </c>
      <c r="L375" s="33">
        <v>6.85</v>
      </c>
      <c r="M375" s="33">
        <v>6.7</v>
      </c>
    </row>
    <row r="376" spans="1:17" x14ac:dyDescent="0.3">
      <c r="A376" t="s">
        <v>248</v>
      </c>
      <c r="B376" t="s">
        <v>115</v>
      </c>
      <c r="C376">
        <v>26</v>
      </c>
      <c r="D376" t="s">
        <v>20</v>
      </c>
      <c r="E376" t="s">
        <v>27</v>
      </c>
      <c r="G376" s="36">
        <f t="shared" si="5"/>
        <v>6.7299999999999995</v>
      </c>
      <c r="H376" s="38" t="str">
        <f>_xlfn.XLOOKUP(A376,Foglio1!A:A,Foglio1!G:G,"")</f>
        <v/>
      </c>
      <c r="I376" s="28">
        <v>6.55</v>
      </c>
      <c r="J376" s="28">
        <v>6.9</v>
      </c>
      <c r="K376" s="28">
        <v>7</v>
      </c>
      <c r="L376" s="29">
        <v>6.4</v>
      </c>
      <c r="O376" s="29">
        <v>6.8</v>
      </c>
    </row>
    <row r="377" spans="1:17" x14ac:dyDescent="0.3">
      <c r="A377" t="s">
        <v>443</v>
      </c>
      <c r="B377" t="s">
        <v>115</v>
      </c>
      <c r="C377">
        <v>22</v>
      </c>
      <c r="D377" t="s">
        <v>20</v>
      </c>
      <c r="E377" t="s">
        <v>27</v>
      </c>
      <c r="G377" s="36">
        <f t="shared" si="5"/>
        <v>6.65</v>
      </c>
      <c r="H377" s="38">
        <f>_xlfn.XLOOKUP(A377,Foglio1!A:A,Foglio1!G:G,"")</f>
        <v>7.2</v>
      </c>
      <c r="I377" s="28">
        <v>6.2</v>
      </c>
      <c r="J377" s="33">
        <v>6.7</v>
      </c>
      <c r="K377" s="33">
        <v>6.9</v>
      </c>
      <c r="L377" s="33">
        <v>6.8</v>
      </c>
    </row>
    <row r="378" spans="1:17" x14ac:dyDescent="0.3">
      <c r="A378" t="s">
        <v>329</v>
      </c>
      <c r="B378" t="s">
        <v>115</v>
      </c>
      <c r="C378">
        <v>24</v>
      </c>
      <c r="D378" t="s">
        <v>20</v>
      </c>
      <c r="E378" t="s">
        <v>20</v>
      </c>
      <c r="G378" s="36">
        <f t="shared" si="5"/>
        <v>6.6857142857142851</v>
      </c>
      <c r="H378" s="38" t="str">
        <f>_xlfn.XLOOKUP(A378,Foglio1!A:A,Foglio1!G:G,"")</f>
        <v/>
      </c>
      <c r="I378" s="28">
        <v>6.2</v>
      </c>
      <c r="J378" s="33">
        <v>6.3</v>
      </c>
      <c r="K378" s="33">
        <v>7</v>
      </c>
      <c r="L378" s="33">
        <v>7</v>
      </c>
      <c r="M378" s="33">
        <v>6.8</v>
      </c>
      <c r="N378" s="33">
        <v>6.8</v>
      </c>
      <c r="O378" s="33">
        <v>6.7</v>
      </c>
    </row>
    <row r="379" spans="1:17" x14ac:dyDescent="0.3">
      <c r="A379" t="s">
        <v>503</v>
      </c>
      <c r="B379" t="s">
        <v>115</v>
      </c>
      <c r="C379">
        <v>18</v>
      </c>
      <c r="D379" t="s">
        <v>8</v>
      </c>
      <c r="E379" t="s">
        <v>9</v>
      </c>
      <c r="G379" s="36" t="str">
        <f t="shared" si="5"/>
        <v/>
      </c>
      <c r="H379" s="38" t="str">
        <f>_xlfn.XLOOKUP(A379,Foglio1!A:A,Foglio1!G:G,"")</f>
        <v/>
      </c>
    </row>
    <row r="380" spans="1:17" x14ac:dyDescent="0.3">
      <c r="A380" t="s">
        <v>321</v>
      </c>
      <c r="B380" t="s">
        <v>115</v>
      </c>
      <c r="C380">
        <v>25</v>
      </c>
      <c r="D380" t="s">
        <v>8</v>
      </c>
      <c r="E380" t="s">
        <v>9</v>
      </c>
      <c r="G380" s="36">
        <f t="shared" si="5"/>
        <v>6.666666666666667</v>
      </c>
      <c r="H380" s="38" t="str">
        <f>_xlfn.XLOOKUP(A380,Foglio1!A:A,Foglio1!G:G,"")</f>
        <v/>
      </c>
      <c r="I380" s="28">
        <v>6.7</v>
      </c>
      <c r="J380" s="30">
        <v>6.7</v>
      </c>
      <c r="L380" s="30">
        <v>6.6</v>
      </c>
    </row>
    <row r="381" spans="1:17" x14ac:dyDescent="0.3">
      <c r="A381" t="s">
        <v>284</v>
      </c>
      <c r="B381" t="s">
        <v>115</v>
      </c>
      <c r="C381">
        <v>23</v>
      </c>
      <c r="D381" t="s">
        <v>8</v>
      </c>
      <c r="E381" t="s">
        <v>8</v>
      </c>
      <c r="G381" s="36">
        <f t="shared" si="5"/>
        <v>6.6</v>
      </c>
      <c r="H381" s="38" t="str">
        <f>_xlfn.XLOOKUP(A381,Foglio1!A:A,Foglio1!G:G,"")</f>
        <v/>
      </c>
      <c r="I381" s="33">
        <v>6.1</v>
      </c>
      <c r="J381" s="33">
        <v>6.7</v>
      </c>
      <c r="K381" s="33">
        <v>6.4</v>
      </c>
      <c r="L381" s="33">
        <v>7</v>
      </c>
      <c r="M381" s="33">
        <v>6.8</v>
      </c>
    </row>
    <row r="382" spans="1:17" x14ac:dyDescent="0.3">
      <c r="A382" t="s">
        <v>467</v>
      </c>
      <c r="B382" t="s">
        <v>115</v>
      </c>
      <c r="C382">
        <v>18</v>
      </c>
      <c r="D382" t="s">
        <v>8</v>
      </c>
      <c r="E382" t="s">
        <v>8</v>
      </c>
      <c r="G382" s="36" t="str">
        <f t="shared" si="5"/>
        <v/>
      </c>
      <c r="H382" s="38">
        <f>_xlfn.XLOOKUP(A382,Foglio1!A:A,Foglio1!G:G,"")</f>
        <v>6.4</v>
      </c>
    </row>
    <row r="383" spans="1:17" x14ac:dyDescent="0.3">
      <c r="A383" t="s">
        <v>132</v>
      </c>
      <c r="B383" t="s">
        <v>115</v>
      </c>
      <c r="C383">
        <v>23</v>
      </c>
      <c r="D383" t="s">
        <v>8</v>
      </c>
      <c r="E383" t="s">
        <v>9</v>
      </c>
      <c r="G383" s="36">
        <f t="shared" si="5"/>
        <v>6.833333333333333</v>
      </c>
      <c r="H383" s="38" t="str">
        <f>_xlfn.XLOOKUP(A383,Foglio1!A:A,Foglio1!G:G,"")</f>
        <v/>
      </c>
      <c r="I383" s="33">
        <v>7.1</v>
      </c>
      <c r="J383" s="33">
        <v>6.8</v>
      </c>
      <c r="K383" s="33">
        <v>7.1</v>
      </c>
      <c r="L383" s="33">
        <v>6.8</v>
      </c>
      <c r="M383" s="33">
        <v>6.7</v>
      </c>
      <c r="N383" s="33">
        <v>6.5</v>
      </c>
    </row>
    <row r="384" spans="1:17" x14ac:dyDescent="0.3">
      <c r="A384" t="s">
        <v>114</v>
      </c>
      <c r="B384" t="s">
        <v>115</v>
      </c>
      <c r="C384">
        <v>25</v>
      </c>
      <c r="D384" t="s">
        <v>8</v>
      </c>
      <c r="E384" t="s">
        <v>9</v>
      </c>
      <c r="G384" s="36">
        <f t="shared" si="5"/>
        <v>6.7357142857142858</v>
      </c>
      <c r="H384" s="38">
        <f>_xlfn.XLOOKUP(A384,Foglio1!A:A,Foglio1!G:G,"")</f>
        <v>5.6</v>
      </c>
      <c r="I384" s="33">
        <v>6.9</v>
      </c>
      <c r="J384" s="33">
        <v>6.7</v>
      </c>
      <c r="K384" s="28">
        <v>6.7</v>
      </c>
      <c r="L384" s="33">
        <v>6.45</v>
      </c>
      <c r="M384" s="33">
        <v>6.9</v>
      </c>
      <c r="N384" s="33">
        <v>6.5</v>
      </c>
      <c r="O384" s="33">
        <v>7</v>
      </c>
    </row>
    <row r="385" spans="1:12" x14ac:dyDescent="0.3">
      <c r="A385" s="1" t="s">
        <v>759</v>
      </c>
      <c r="B385" s="1" t="s">
        <v>115</v>
      </c>
      <c r="C385">
        <v>24</v>
      </c>
      <c r="D385" s="1" t="s">
        <v>20</v>
      </c>
      <c r="G385" s="36">
        <f t="shared" si="5"/>
        <v>6.8249999999999993</v>
      </c>
      <c r="H385" s="38" t="str">
        <f>_xlfn.XLOOKUP(A385,Foglio1!A:A,Foglio1!G:G,"")</f>
        <v/>
      </c>
      <c r="I385" s="29">
        <v>7</v>
      </c>
      <c r="J385" s="29">
        <v>6.4</v>
      </c>
      <c r="K385" s="29">
        <v>7</v>
      </c>
      <c r="L385" s="29">
        <v>6.9</v>
      </c>
    </row>
    <row r="386" spans="1:12" x14ac:dyDescent="0.3">
      <c r="A386" t="s">
        <v>542</v>
      </c>
      <c r="B386" t="s">
        <v>11</v>
      </c>
      <c r="C386">
        <v>19</v>
      </c>
      <c r="D386" t="s">
        <v>71</v>
      </c>
      <c r="E386" t="s">
        <v>72</v>
      </c>
      <c r="G386" s="36" t="str">
        <f t="shared" si="5"/>
        <v/>
      </c>
      <c r="H386" s="38" t="str">
        <f>_xlfn.XLOOKUP(A386,Foglio1!A:A,Foglio1!G:G,"")</f>
        <v/>
      </c>
    </row>
    <row r="387" spans="1:12" x14ac:dyDescent="0.3">
      <c r="A387" t="s">
        <v>561</v>
      </c>
      <c r="B387" t="s">
        <v>11</v>
      </c>
      <c r="C387">
        <v>31</v>
      </c>
      <c r="D387" t="s">
        <v>71</v>
      </c>
      <c r="E387" t="s">
        <v>72</v>
      </c>
      <c r="G387" s="36" t="str">
        <f t="shared" si="5"/>
        <v/>
      </c>
      <c r="H387" s="38" t="str">
        <f>_xlfn.XLOOKUP(A387,Foglio1!A:A,Foglio1!G:G,"")</f>
        <v/>
      </c>
    </row>
    <row r="388" spans="1:12" x14ac:dyDescent="0.3">
      <c r="A388" t="s">
        <v>70</v>
      </c>
      <c r="B388" t="s">
        <v>11</v>
      </c>
      <c r="C388">
        <v>27</v>
      </c>
      <c r="D388" t="s">
        <v>71</v>
      </c>
      <c r="E388" t="s">
        <v>72</v>
      </c>
      <c r="G388" s="36" t="str">
        <f t="shared" si="5"/>
        <v/>
      </c>
      <c r="H388" s="38" t="str">
        <f>_xlfn.XLOOKUP(A388,Foglio1!A:A,Foglio1!G:G,"")</f>
        <v/>
      </c>
    </row>
    <row r="389" spans="1:12" x14ac:dyDescent="0.3">
      <c r="A389" t="s">
        <v>396</v>
      </c>
      <c r="B389" t="s">
        <v>11</v>
      </c>
      <c r="C389">
        <v>23</v>
      </c>
      <c r="D389" t="s">
        <v>16</v>
      </c>
      <c r="E389" t="s">
        <v>88</v>
      </c>
      <c r="G389" s="36" t="str">
        <f t="shared" ref="G389:G452" si="6">IFERROR(AVERAGE(I389:U389),"")</f>
        <v/>
      </c>
      <c r="H389" s="38" t="str">
        <f>_xlfn.XLOOKUP(A389,Foglio1!A:A,Foglio1!G:G,"")</f>
        <v/>
      </c>
    </row>
    <row r="390" spans="1:12" x14ac:dyDescent="0.3">
      <c r="A390" t="s">
        <v>190</v>
      </c>
      <c r="B390" t="s">
        <v>11</v>
      </c>
      <c r="C390">
        <v>31</v>
      </c>
      <c r="D390" t="s">
        <v>16</v>
      </c>
      <c r="E390" t="s">
        <v>88</v>
      </c>
      <c r="G390" s="36" t="str">
        <f t="shared" si="6"/>
        <v/>
      </c>
      <c r="H390" s="38" t="str">
        <f>_xlfn.XLOOKUP(A390,Foglio1!A:A,Foglio1!G:G,"")</f>
        <v/>
      </c>
    </row>
    <row r="391" spans="1:12" x14ac:dyDescent="0.3">
      <c r="A391" t="s">
        <v>230</v>
      </c>
      <c r="B391" t="s">
        <v>11</v>
      </c>
      <c r="C391">
        <v>23</v>
      </c>
      <c r="D391" t="s">
        <v>16</v>
      </c>
      <c r="E391" t="s">
        <v>88</v>
      </c>
      <c r="G391" s="36" t="str">
        <f t="shared" si="6"/>
        <v/>
      </c>
      <c r="H391" s="38" t="str">
        <f>_xlfn.XLOOKUP(A391,Foglio1!A:A,Foglio1!G:G,"")</f>
        <v/>
      </c>
    </row>
    <row r="392" spans="1:12" x14ac:dyDescent="0.3">
      <c r="A392" t="s">
        <v>101</v>
      </c>
      <c r="B392" t="s">
        <v>11</v>
      </c>
      <c r="C392">
        <v>30</v>
      </c>
      <c r="D392" t="s">
        <v>16</v>
      </c>
      <c r="E392" t="s">
        <v>88</v>
      </c>
      <c r="G392" s="36" t="str">
        <f t="shared" si="6"/>
        <v/>
      </c>
      <c r="H392" s="38" t="str">
        <f>_xlfn.XLOOKUP(A392,Foglio1!A:A,Foglio1!G:G,"")</f>
        <v/>
      </c>
    </row>
    <row r="393" spans="1:12" x14ac:dyDescent="0.3">
      <c r="A393" t="s">
        <v>59</v>
      </c>
      <c r="B393" t="s">
        <v>11</v>
      </c>
      <c r="C393">
        <v>28</v>
      </c>
      <c r="D393" t="s">
        <v>16</v>
      </c>
      <c r="E393" t="s">
        <v>60</v>
      </c>
      <c r="G393" s="36" t="str">
        <f t="shared" si="6"/>
        <v/>
      </c>
      <c r="H393" s="38" t="str">
        <f>_xlfn.XLOOKUP(A393,Foglio1!A:A,Foglio1!G:G,"")</f>
        <v/>
      </c>
    </row>
    <row r="394" spans="1:12" x14ac:dyDescent="0.3">
      <c r="A394" t="s">
        <v>117</v>
      </c>
      <c r="B394" t="s">
        <v>11</v>
      </c>
      <c r="C394">
        <v>27</v>
      </c>
      <c r="D394" t="s">
        <v>16</v>
      </c>
      <c r="E394" t="s">
        <v>88</v>
      </c>
      <c r="G394" s="36" t="str">
        <f t="shared" si="6"/>
        <v/>
      </c>
      <c r="H394" s="38" t="str">
        <f>_xlfn.XLOOKUP(A394,Foglio1!A:A,Foglio1!G:G,"")</f>
        <v/>
      </c>
    </row>
    <row r="395" spans="1:12" x14ac:dyDescent="0.3">
      <c r="A395" t="s">
        <v>276</v>
      </c>
      <c r="B395" t="s">
        <v>11</v>
      </c>
      <c r="C395">
        <v>23</v>
      </c>
      <c r="D395" t="s">
        <v>16</v>
      </c>
      <c r="E395" t="s">
        <v>215</v>
      </c>
      <c r="G395" s="36" t="str">
        <f t="shared" si="6"/>
        <v/>
      </c>
      <c r="H395" s="38" t="str">
        <f>_xlfn.XLOOKUP(A395,Foglio1!A:A,Foglio1!G:G,"")</f>
        <v/>
      </c>
    </row>
    <row r="396" spans="1:12" x14ac:dyDescent="0.3">
      <c r="A396" t="s">
        <v>61</v>
      </c>
      <c r="B396" t="s">
        <v>11</v>
      </c>
      <c r="C396">
        <v>23</v>
      </c>
      <c r="D396" t="s">
        <v>16</v>
      </c>
      <c r="E396" t="s">
        <v>60</v>
      </c>
      <c r="G396" s="36" t="str">
        <f t="shared" si="6"/>
        <v/>
      </c>
      <c r="H396" s="38" t="str">
        <f>_xlfn.XLOOKUP(A396,Foglio1!A:A,Foglio1!G:G,"")</f>
        <v/>
      </c>
    </row>
    <row r="397" spans="1:12" x14ac:dyDescent="0.3">
      <c r="A397" t="s">
        <v>521</v>
      </c>
      <c r="B397" t="s">
        <v>11</v>
      </c>
      <c r="C397">
        <v>21</v>
      </c>
      <c r="D397" t="s">
        <v>16</v>
      </c>
      <c r="E397" t="s">
        <v>88</v>
      </c>
      <c r="G397" s="36" t="str">
        <f t="shared" si="6"/>
        <v/>
      </c>
      <c r="H397" s="38" t="str">
        <f>_xlfn.XLOOKUP(A397,Foglio1!A:A,Foglio1!G:G,"")</f>
        <v/>
      </c>
    </row>
    <row r="398" spans="1:12" x14ac:dyDescent="0.3">
      <c r="A398" t="s">
        <v>160</v>
      </c>
      <c r="B398" t="s">
        <v>11</v>
      </c>
      <c r="C398">
        <v>31</v>
      </c>
      <c r="D398" t="s">
        <v>20</v>
      </c>
      <c r="E398" t="s">
        <v>27</v>
      </c>
      <c r="G398" s="36" t="str">
        <f t="shared" si="6"/>
        <v/>
      </c>
      <c r="H398" s="38" t="str">
        <f>_xlfn.XLOOKUP(A398,Foglio1!A:A,Foglio1!G:G,"")</f>
        <v/>
      </c>
    </row>
    <row r="399" spans="1:12" x14ac:dyDescent="0.3">
      <c r="A399" t="s">
        <v>243</v>
      </c>
      <c r="B399" t="s">
        <v>11</v>
      </c>
      <c r="C399">
        <v>25</v>
      </c>
      <c r="D399" t="s">
        <v>20</v>
      </c>
      <c r="E399" t="s">
        <v>27</v>
      </c>
      <c r="G399" s="36" t="str">
        <f t="shared" si="6"/>
        <v/>
      </c>
      <c r="H399" s="38" t="str">
        <f>_xlfn.XLOOKUP(A399,Foglio1!A:A,Foglio1!G:G,"")</f>
        <v/>
      </c>
    </row>
    <row r="400" spans="1:12" x14ac:dyDescent="0.3">
      <c r="A400" t="s">
        <v>121</v>
      </c>
      <c r="B400" t="s">
        <v>11</v>
      </c>
      <c r="C400">
        <v>25</v>
      </c>
      <c r="D400" t="s">
        <v>20</v>
      </c>
      <c r="E400" t="s">
        <v>27</v>
      </c>
      <c r="G400" s="36" t="str">
        <f t="shared" si="6"/>
        <v/>
      </c>
      <c r="H400" s="38" t="str">
        <f>_xlfn.XLOOKUP(A400,Foglio1!A:A,Foglio1!G:G,"")</f>
        <v/>
      </c>
    </row>
    <row r="401" spans="1:8" x14ac:dyDescent="0.3">
      <c r="A401" t="s">
        <v>47</v>
      </c>
      <c r="B401" t="s">
        <v>11</v>
      </c>
      <c r="C401">
        <v>19</v>
      </c>
      <c r="D401" t="s">
        <v>20</v>
      </c>
      <c r="E401" t="s">
        <v>48</v>
      </c>
      <c r="G401" s="36" t="str">
        <f t="shared" si="6"/>
        <v/>
      </c>
      <c r="H401" s="38" t="str">
        <f>_xlfn.XLOOKUP(A401,Foglio1!A:A,Foglio1!G:G,"")</f>
        <v/>
      </c>
    </row>
    <row r="402" spans="1:8" x14ac:dyDescent="0.3">
      <c r="A402" t="s">
        <v>168</v>
      </c>
      <c r="B402" t="s">
        <v>11</v>
      </c>
      <c r="C402">
        <v>30</v>
      </c>
      <c r="D402" t="s">
        <v>20</v>
      </c>
      <c r="E402" t="s">
        <v>23</v>
      </c>
      <c r="G402" s="36" t="str">
        <f t="shared" si="6"/>
        <v/>
      </c>
      <c r="H402" s="38" t="str">
        <f>_xlfn.XLOOKUP(A402,Foglio1!A:A,Foglio1!G:G,"")</f>
        <v/>
      </c>
    </row>
    <row r="403" spans="1:8" x14ac:dyDescent="0.3">
      <c r="A403" t="s">
        <v>244</v>
      </c>
      <c r="B403" t="s">
        <v>11</v>
      </c>
      <c r="C403">
        <v>22</v>
      </c>
      <c r="D403" t="s">
        <v>20</v>
      </c>
      <c r="E403" t="s">
        <v>20</v>
      </c>
      <c r="G403" s="36" t="str">
        <f t="shared" si="6"/>
        <v/>
      </c>
      <c r="H403" s="38" t="str">
        <f>_xlfn.XLOOKUP(A403,Foglio1!A:A,Foglio1!G:G,"")</f>
        <v/>
      </c>
    </row>
    <row r="404" spans="1:8" x14ac:dyDescent="0.3">
      <c r="A404" t="s">
        <v>62</v>
      </c>
      <c r="B404" t="s">
        <v>11</v>
      </c>
      <c r="C404">
        <v>22</v>
      </c>
      <c r="D404" t="s">
        <v>8</v>
      </c>
      <c r="E404" t="s">
        <v>9</v>
      </c>
      <c r="G404" s="36" t="str">
        <f t="shared" si="6"/>
        <v/>
      </c>
      <c r="H404" s="38" t="str">
        <f>_xlfn.XLOOKUP(A404,Foglio1!A:A,Foglio1!G:G,"")</f>
        <v/>
      </c>
    </row>
    <row r="405" spans="1:8" x14ac:dyDescent="0.3">
      <c r="A405" t="s">
        <v>68</v>
      </c>
      <c r="B405" t="s">
        <v>11</v>
      </c>
      <c r="C405">
        <v>33</v>
      </c>
      <c r="D405" t="s">
        <v>8</v>
      </c>
      <c r="E405" t="s">
        <v>8</v>
      </c>
      <c r="G405" s="36" t="str">
        <f t="shared" si="6"/>
        <v/>
      </c>
      <c r="H405" s="38" t="str">
        <f>_xlfn.XLOOKUP(A405,Foglio1!A:A,Foglio1!G:G,"")</f>
        <v/>
      </c>
    </row>
    <row r="406" spans="1:8" x14ac:dyDescent="0.3">
      <c r="A406" t="s">
        <v>10</v>
      </c>
      <c r="B406" t="s">
        <v>11</v>
      </c>
      <c r="C406">
        <v>27</v>
      </c>
      <c r="D406" t="s">
        <v>8</v>
      </c>
      <c r="E406" t="s">
        <v>9</v>
      </c>
      <c r="G406" s="36" t="str">
        <f t="shared" si="6"/>
        <v/>
      </c>
      <c r="H406" s="38" t="str">
        <f>_xlfn.XLOOKUP(A406,Foglio1!A:A,Foglio1!G:G,"")</f>
        <v/>
      </c>
    </row>
    <row r="407" spans="1:8" x14ac:dyDescent="0.3">
      <c r="A407" t="s">
        <v>91</v>
      </c>
      <c r="B407" t="s">
        <v>11</v>
      </c>
      <c r="C407">
        <v>23</v>
      </c>
      <c r="D407" t="s">
        <v>8</v>
      </c>
      <c r="E407" t="s">
        <v>8</v>
      </c>
      <c r="G407" s="36" t="str">
        <f t="shared" si="6"/>
        <v/>
      </c>
      <c r="H407" s="38" t="str">
        <f>_xlfn.XLOOKUP(A407,Foglio1!A:A,Foglio1!G:G,"")</f>
        <v/>
      </c>
    </row>
    <row r="408" spans="1:8" x14ac:dyDescent="0.3">
      <c r="A408" t="s">
        <v>470</v>
      </c>
      <c r="B408" t="s">
        <v>11</v>
      </c>
      <c r="C408">
        <v>19</v>
      </c>
      <c r="D408" t="s">
        <v>8</v>
      </c>
      <c r="E408" t="s">
        <v>9</v>
      </c>
      <c r="G408" s="36" t="str">
        <f t="shared" si="6"/>
        <v/>
      </c>
      <c r="H408" s="38" t="str">
        <f>_xlfn.XLOOKUP(A408,Foglio1!A:A,Foglio1!G:G,"")</f>
        <v/>
      </c>
    </row>
    <row r="409" spans="1:8" x14ac:dyDescent="0.3">
      <c r="A409" t="s">
        <v>283</v>
      </c>
      <c r="B409" t="s">
        <v>45</v>
      </c>
      <c r="C409">
        <v>28</v>
      </c>
      <c r="D409" t="s">
        <v>71</v>
      </c>
      <c r="E409" t="s">
        <v>72</v>
      </c>
      <c r="G409" s="36" t="str">
        <f t="shared" si="6"/>
        <v/>
      </c>
      <c r="H409" s="38" t="str">
        <f>_xlfn.XLOOKUP(A409,Foglio1!A:A,Foglio1!G:G,"")</f>
        <v/>
      </c>
    </row>
    <row r="410" spans="1:8" x14ac:dyDescent="0.3">
      <c r="A410" t="s">
        <v>553</v>
      </c>
      <c r="B410" t="s">
        <v>45</v>
      </c>
      <c r="C410">
        <v>25</v>
      </c>
      <c r="D410" t="s">
        <v>71</v>
      </c>
      <c r="E410" t="s">
        <v>72</v>
      </c>
      <c r="G410" s="36" t="str">
        <f t="shared" si="6"/>
        <v/>
      </c>
      <c r="H410" s="38" t="str">
        <f>_xlfn.XLOOKUP(A410,Foglio1!A:A,Foglio1!G:G,"")</f>
        <v/>
      </c>
    </row>
    <row r="411" spans="1:8" x14ac:dyDescent="0.3">
      <c r="A411" t="s">
        <v>558</v>
      </c>
      <c r="B411" t="s">
        <v>45</v>
      </c>
      <c r="C411">
        <v>27</v>
      </c>
      <c r="D411" t="s">
        <v>71</v>
      </c>
      <c r="E411" t="s">
        <v>72</v>
      </c>
      <c r="G411" s="36" t="str">
        <f t="shared" si="6"/>
        <v/>
      </c>
      <c r="H411" s="38" t="str">
        <f>_xlfn.XLOOKUP(A411,Foglio1!A:A,Foglio1!G:G,"")</f>
        <v/>
      </c>
    </row>
    <row r="412" spans="1:8" x14ac:dyDescent="0.3">
      <c r="A412" t="s">
        <v>502</v>
      </c>
      <c r="B412" t="s">
        <v>45</v>
      </c>
      <c r="C412">
        <v>25</v>
      </c>
      <c r="D412" t="s">
        <v>71</v>
      </c>
      <c r="E412" t="s">
        <v>72</v>
      </c>
      <c r="G412" s="36" t="str">
        <f t="shared" si="6"/>
        <v/>
      </c>
      <c r="H412" s="38" t="str">
        <f>_xlfn.XLOOKUP(A412,Foglio1!A:A,Foglio1!G:G,"")</f>
        <v/>
      </c>
    </row>
    <row r="413" spans="1:8" x14ac:dyDescent="0.3">
      <c r="A413" t="s">
        <v>350</v>
      </c>
      <c r="B413" t="s">
        <v>45</v>
      </c>
      <c r="C413">
        <v>28</v>
      </c>
      <c r="D413" t="s">
        <v>16</v>
      </c>
      <c r="E413" t="s">
        <v>146</v>
      </c>
      <c r="G413" s="36" t="str">
        <f t="shared" si="6"/>
        <v/>
      </c>
      <c r="H413" s="38" t="str">
        <f>_xlfn.XLOOKUP(A413,Foglio1!A:A,Foglio1!G:G,"")</f>
        <v/>
      </c>
    </row>
    <row r="414" spans="1:8" x14ac:dyDescent="0.3">
      <c r="A414" t="s">
        <v>397</v>
      </c>
      <c r="B414" t="s">
        <v>45</v>
      </c>
      <c r="C414">
        <v>24</v>
      </c>
      <c r="D414" t="s">
        <v>16</v>
      </c>
      <c r="E414" t="s">
        <v>188</v>
      </c>
      <c r="G414" s="36" t="str">
        <f t="shared" si="6"/>
        <v/>
      </c>
      <c r="H414" s="38" t="str">
        <f>_xlfn.XLOOKUP(A414,Foglio1!A:A,Foglio1!G:G,"")</f>
        <v/>
      </c>
    </row>
    <row r="415" spans="1:8" x14ac:dyDescent="0.3">
      <c r="A415" t="s">
        <v>232</v>
      </c>
      <c r="B415" t="s">
        <v>45</v>
      </c>
      <c r="C415">
        <v>26</v>
      </c>
      <c r="D415" t="s">
        <v>16</v>
      </c>
      <c r="E415" t="s">
        <v>88</v>
      </c>
      <c r="G415" s="36" t="str">
        <f t="shared" si="6"/>
        <v/>
      </c>
      <c r="H415" s="38" t="str">
        <f>_xlfn.XLOOKUP(A415,Foglio1!A:A,Foglio1!G:G,"")</f>
        <v/>
      </c>
    </row>
    <row r="416" spans="1:8" x14ac:dyDescent="0.3">
      <c r="A416" t="s">
        <v>525</v>
      </c>
      <c r="B416" t="s">
        <v>45</v>
      </c>
      <c r="C416">
        <v>22</v>
      </c>
      <c r="D416" t="s">
        <v>16</v>
      </c>
      <c r="E416" t="s">
        <v>131</v>
      </c>
      <c r="G416" s="36" t="str">
        <f t="shared" si="6"/>
        <v/>
      </c>
      <c r="H416" s="38" t="str">
        <f>_xlfn.XLOOKUP(A416,Foglio1!A:A,Foglio1!G:G,"")</f>
        <v/>
      </c>
    </row>
    <row r="417" spans="1:8" x14ac:dyDescent="0.3">
      <c r="A417" t="s">
        <v>274</v>
      </c>
      <c r="B417" t="s">
        <v>45</v>
      </c>
      <c r="C417">
        <v>22</v>
      </c>
      <c r="D417" t="s">
        <v>16</v>
      </c>
      <c r="E417" t="s">
        <v>188</v>
      </c>
      <c r="G417" s="36" t="str">
        <f t="shared" si="6"/>
        <v/>
      </c>
      <c r="H417" s="38" t="str">
        <f>_xlfn.XLOOKUP(A417,Foglio1!A:A,Foglio1!G:G,"")</f>
        <v/>
      </c>
    </row>
    <row r="418" spans="1:8" x14ac:dyDescent="0.3">
      <c r="A418" t="s">
        <v>523</v>
      </c>
      <c r="B418" t="s">
        <v>45</v>
      </c>
      <c r="C418">
        <v>26</v>
      </c>
      <c r="D418" t="s">
        <v>16</v>
      </c>
      <c r="E418" t="s">
        <v>88</v>
      </c>
      <c r="G418" s="36" t="str">
        <f t="shared" si="6"/>
        <v/>
      </c>
      <c r="H418" s="38" t="str">
        <f>_xlfn.XLOOKUP(A418,Foglio1!A:A,Foglio1!G:G,"")</f>
        <v/>
      </c>
    </row>
    <row r="419" spans="1:8" x14ac:dyDescent="0.3">
      <c r="A419" t="s">
        <v>522</v>
      </c>
      <c r="B419" t="s">
        <v>45</v>
      </c>
      <c r="C419">
        <v>23</v>
      </c>
      <c r="D419" t="s">
        <v>16</v>
      </c>
      <c r="E419" t="s">
        <v>188</v>
      </c>
      <c r="G419" s="36" t="str">
        <f t="shared" si="6"/>
        <v/>
      </c>
      <c r="H419" s="38" t="str">
        <f>_xlfn.XLOOKUP(A419,Foglio1!A:A,Foglio1!G:G,"")</f>
        <v/>
      </c>
    </row>
    <row r="420" spans="1:8" x14ac:dyDescent="0.3">
      <c r="A420" t="s">
        <v>406</v>
      </c>
      <c r="B420" t="s">
        <v>45</v>
      </c>
      <c r="C420">
        <v>26</v>
      </c>
      <c r="D420" t="s">
        <v>16</v>
      </c>
      <c r="E420" t="s">
        <v>111</v>
      </c>
      <c r="G420" s="36" t="str">
        <f t="shared" si="6"/>
        <v/>
      </c>
      <c r="H420" s="38" t="str">
        <f>_xlfn.XLOOKUP(A420,Foglio1!A:A,Foglio1!G:G,"")</f>
        <v/>
      </c>
    </row>
    <row r="421" spans="1:8" x14ac:dyDescent="0.3">
      <c r="A421" t="s">
        <v>267</v>
      </c>
      <c r="B421" t="s">
        <v>45</v>
      </c>
      <c r="C421">
        <v>20</v>
      </c>
      <c r="D421" t="s">
        <v>20</v>
      </c>
      <c r="E421" t="s">
        <v>23</v>
      </c>
      <c r="G421" s="36" t="str">
        <f t="shared" si="6"/>
        <v/>
      </c>
      <c r="H421" s="38" t="str">
        <f>_xlfn.XLOOKUP(A421,Foglio1!A:A,Foglio1!G:G,"")</f>
        <v/>
      </c>
    </row>
    <row r="422" spans="1:8" x14ac:dyDescent="0.3">
      <c r="A422" t="s">
        <v>293</v>
      </c>
      <c r="B422" t="s">
        <v>45</v>
      </c>
      <c r="C422">
        <v>19</v>
      </c>
      <c r="D422" t="s">
        <v>20</v>
      </c>
      <c r="E422" t="s">
        <v>23</v>
      </c>
      <c r="G422" s="36" t="str">
        <f t="shared" si="6"/>
        <v/>
      </c>
      <c r="H422" s="38" t="str">
        <f>_xlfn.XLOOKUP(A422,Foglio1!A:A,Foglio1!G:G,"")</f>
        <v/>
      </c>
    </row>
    <row r="423" spans="1:8" x14ac:dyDescent="0.3">
      <c r="A423" t="s">
        <v>447</v>
      </c>
      <c r="B423" t="s">
        <v>45</v>
      </c>
      <c r="C423">
        <v>28</v>
      </c>
      <c r="D423" t="s">
        <v>20</v>
      </c>
      <c r="E423" t="s">
        <v>27</v>
      </c>
      <c r="G423" s="36" t="str">
        <f t="shared" si="6"/>
        <v/>
      </c>
      <c r="H423" s="38" t="str">
        <f>_xlfn.XLOOKUP(A423,Foglio1!A:A,Foglio1!G:G,"")</f>
        <v/>
      </c>
    </row>
    <row r="424" spans="1:8" x14ac:dyDescent="0.3">
      <c r="A424" t="s">
        <v>332</v>
      </c>
      <c r="B424" t="s">
        <v>45</v>
      </c>
      <c r="C424">
        <v>23</v>
      </c>
      <c r="D424" t="s">
        <v>20</v>
      </c>
      <c r="E424" t="s">
        <v>34</v>
      </c>
      <c r="G424" s="36" t="str">
        <f t="shared" si="6"/>
        <v/>
      </c>
      <c r="H424" s="38" t="str">
        <f>_xlfn.XLOOKUP(A424,Foglio1!A:A,Foglio1!G:G,"")</f>
        <v/>
      </c>
    </row>
    <row r="425" spans="1:8" x14ac:dyDescent="0.3">
      <c r="A425" t="s">
        <v>516</v>
      </c>
      <c r="B425" t="s">
        <v>45</v>
      </c>
      <c r="C425">
        <v>25</v>
      </c>
      <c r="D425" t="s">
        <v>20</v>
      </c>
      <c r="E425" t="s">
        <v>27</v>
      </c>
      <c r="G425" s="36" t="str">
        <f t="shared" si="6"/>
        <v/>
      </c>
      <c r="H425" s="38" t="str">
        <f>_xlfn.XLOOKUP(A425,Foglio1!A:A,Foglio1!G:G,"")</f>
        <v/>
      </c>
    </row>
    <row r="426" spans="1:8" x14ac:dyDescent="0.3">
      <c r="A426" t="s">
        <v>221</v>
      </c>
      <c r="B426" t="s">
        <v>45</v>
      </c>
      <c r="C426">
        <v>24</v>
      </c>
      <c r="D426" t="s">
        <v>20</v>
      </c>
      <c r="E426" t="s">
        <v>20</v>
      </c>
      <c r="G426" s="36" t="str">
        <f t="shared" si="6"/>
        <v/>
      </c>
      <c r="H426" s="38" t="str">
        <f>_xlfn.XLOOKUP(A426,Foglio1!A:A,Foglio1!G:G,"")</f>
        <v/>
      </c>
    </row>
    <row r="427" spans="1:8" x14ac:dyDescent="0.3">
      <c r="A427" t="s">
        <v>446</v>
      </c>
      <c r="B427" t="s">
        <v>45</v>
      </c>
      <c r="C427">
        <v>21</v>
      </c>
      <c r="D427" t="s">
        <v>20</v>
      </c>
      <c r="E427" t="s">
        <v>27</v>
      </c>
      <c r="G427" s="36" t="str">
        <f t="shared" si="6"/>
        <v/>
      </c>
      <c r="H427" s="38" t="str">
        <f>_xlfn.XLOOKUP(A427,Foglio1!A:A,Foglio1!G:G,"")</f>
        <v/>
      </c>
    </row>
    <row r="428" spans="1:8" x14ac:dyDescent="0.3">
      <c r="A428" t="s">
        <v>272</v>
      </c>
      <c r="B428" t="s">
        <v>45</v>
      </c>
      <c r="C428">
        <v>38</v>
      </c>
      <c r="D428" t="s">
        <v>20</v>
      </c>
      <c r="E428" t="s">
        <v>27</v>
      </c>
      <c r="G428" s="36" t="str">
        <f t="shared" si="6"/>
        <v/>
      </c>
      <c r="H428" s="38" t="str">
        <f>_xlfn.XLOOKUP(A428,Foglio1!A:A,Foglio1!G:G,"")</f>
        <v/>
      </c>
    </row>
    <row r="429" spans="1:8" x14ac:dyDescent="0.3">
      <c r="A429" t="s">
        <v>120</v>
      </c>
      <c r="B429" t="s">
        <v>45</v>
      </c>
      <c r="C429">
        <v>27</v>
      </c>
      <c r="D429" t="s">
        <v>20</v>
      </c>
      <c r="E429" t="s">
        <v>23</v>
      </c>
      <c r="G429" s="36" t="str">
        <f t="shared" si="6"/>
        <v/>
      </c>
      <c r="H429" s="38" t="str">
        <f>_xlfn.XLOOKUP(A429,Foglio1!A:A,Foglio1!G:G,"")</f>
        <v/>
      </c>
    </row>
    <row r="430" spans="1:8" x14ac:dyDescent="0.3">
      <c r="A430" t="s">
        <v>195</v>
      </c>
      <c r="B430" t="s">
        <v>45</v>
      </c>
      <c r="C430">
        <v>23</v>
      </c>
      <c r="D430" t="s">
        <v>20</v>
      </c>
      <c r="E430" t="s">
        <v>83</v>
      </c>
      <c r="G430" s="36" t="str">
        <f t="shared" si="6"/>
        <v/>
      </c>
      <c r="H430" s="38" t="str">
        <f>_xlfn.XLOOKUP(A430,Foglio1!A:A,Foglio1!G:G,"")</f>
        <v/>
      </c>
    </row>
    <row r="431" spans="1:8" x14ac:dyDescent="0.3">
      <c r="A431" t="s">
        <v>44</v>
      </c>
      <c r="B431" t="s">
        <v>45</v>
      </c>
      <c r="C431">
        <v>32</v>
      </c>
      <c r="D431" t="s">
        <v>8</v>
      </c>
      <c r="E431" t="s">
        <v>8</v>
      </c>
      <c r="G431" s="36" t="str">
        <f t="shared" si="6"/>
        <v/>
      </c>
      <c r="H431" s="38" t="str">
        <f>_xlfn.XLOOKUP(A431,Foglio1!A:A,Foglio1!G:G,"")</f>
        <v/>
      </c>
    </row>
    <row r="432" spans="1:8" x14ac:dyDescent="0.3">
      <c r="A432" t="s">
        <v>126</v>
      </c>
      <c r="B432" t="s">
        <v>45</v>
      </c>
      <c r="C432">
        <v>24</v>
      </c>
      <c r="D432" t="s">
        <v>8</v>
      </c>
      <c r="E432" t="s">
        <v>9</v>
      </c>
      <c r="G432" s="36" t="str">
        <f t="shared" si="6"/>
        <v/>
      </c>
      <c r="H432" s="38" t="str">
        <f>_xlfn.XLOOKUP(A432,Foglio1!A:A,Foglio1!G:G,"")</f>
        <v/>
      </c>
    </row>
    <row r="433" spans="1:8" x14ac:dyDescent="0.3">
      <c r="A433" t="s">
        <v>57</v>
      </c>
      <c r="B433" t="s">
        <v>45</v>
      </c>
      <c r="C433">
        <v>28</v>
      </c>
      <c r="D433" t="s">
        <v>8</v>
      </c>
      <c r="E433" t="s">
        <v>8</v>
      </c>
      <c r="G433" s="36" t="str">
        <f t="shared" si="6"/>
        <v/>
      </c>
      <c r="H433" s="38" t="str">
        <f>_xlfn.XLOOKUP(A433,Foglio1!A:A,Foglio1!G:G,"")</f>
        <v/>
      </c>
    </row>
    <row r="434" spans="1:8" x14ac:dyDescent="0.3">
      <c r="A434" t="s">
        <v>84</v>
      </c>
      <c r="B434" t="s">
        <v>45</v>
      </c>
      <c r="C434">
        <v>27</v>
      </c>
      <c r="D434" t="s">
        <v>8</v>
      </c>
      <c r="E434" t="s">
        <v>9</v>
      </c>
      <c r="G434" s="36" t="str">
        <f t="shared" si="6"/>
        <v/>
      </c>
      <c r="H434" s="38" t="str">
        <f>_xlfn.XLOOKUP(A434,Foglio1!A:A,Foglio1!G:G,"")</f>
        <v/>
      </c>
    </row>
    <row r="435" spans="1:8" x14ac:dyDescent="0.3">
      <c r="A435" t="s">
        <v>537</v>
      </c>
      <c r="B435" t="s">
        <v>64</v>
      </c>
      <c r="C435">
        <v>20</v>
      </c>
      <c r="D435" t="s">
        <v>71</v>
      </c>
      <c r="E435" t="s">
        <v>72</v>
      </c>
      <c r="G435" s="36" t="str">
        <f t="shared" si="6"/>
        <v/>
      </c>
      <c r="H435" s="38" t="str">
        <f>_xlfn.XLOOKUP(A435,Foglio1!A:A,Foglio1!G:G,"")</f>
        <v/>
      </c>
    </row>
    <row r="436" spans="1:8" x14ac:dyDescent="0.3">
      <c r="A436" t="s">
        <v>551</v>
      </c>
      <c r="B436" t="s">
        <v>64</v>
      </c>
      <c r="C436">
        <v>34</v>
      </c>
      <c r="D436" t="s">
        <v>71</v>
      </c>
      <c r="E436" t="s">
        <v>72</v>
      </c>
      <c r="G436" s="36" t="str">
        <f t="shared" si="6"/>
        <v/>
      </c>
      <c r="H436" s="38" t="str">
        <f>_xlfn.XLOOKUP(A436,Foglio1!A:A,Foglio1!G:G,"")</f>
        <v/>
      </c>
    </row>
    <row r="437" spans="1:8" x14ac:dyDescent="0.3">
      <c r="A437" t="s">
        <v>538</v>
      </c>
      <c r="B437" t="s">
        <v>64</v>
      </c>
      <c r="C437">
        <v>20</v>
      </c>
      <c r="D437" t="s">
        <v>71</v>
      </c>
      <c r="E437" t="s">
        <v>72</v>
      </c>
      <c r="G437" s="36" t="str">
        <f t="shared" si="6"/>
        <v/>
      </c>
      <c r="H437" s="38" t="str">
        <f>_xlfn.XLOOKUP(A437,Foglio1!A:A,Foglio1!G:G,"")</f>
        <v/>
      </c>
    </row>
    <row r="438" spans="1:8" x14ac:dyDescent="0.3">
      <c r="A438" t="s">
        <v>463</v>
      </c>
      <c r="B438" t="s">
        <v>64</v>
      </c>
      <c r="C438">
        <v>34</v>
      </c>
      <c r="D438" t="s">
        <v>16</v>
      </c>
      <c r="E438" t="s">
        <v>171</v>
      </c>
      <c r="G438" s="36" t="str">
        <f t="shared" si="6"/>
        <v/>
      </c>
      <c r="H438" s="38" t="str">
        <f>_xlfn.XLOOKUP(A438,Foglio1!A:A,Foglio1!G:G,"")</f>
        <v/>
      </c>
    </row>
    <row r="439" spans="1:8" x14ac:dyDescent="0.3">
      <c r="A439" t="s">
        <v>254</v>
      </c>
      <c r="B439" t="s">
        <v>64</v>
      </c>
      <c r="C439">
        <v>27</v>
      </c>
      <c r="D439" t="s">
        <v>16</v>
      </c>
      <c r="E439" t="s">
        <v>88</v>
      </c>
      <c r="G439" s="36" t="str">
        <f t="shared" si="6"/>
        <v/>
      </c>
      <c r="H439" s="38" t="str">
        <f>_xlfn.XLOOKUP(A439,Foglio1!A:A,Foglio1!G:G,"")</f>
        <v/>
      </c>
    </row>
    <row r="440" spans="1:8" x14ac:dyDescent="0.3">
      <c r="A440" t="s">
        <v>388</v>
      </c>
      <c r="B440" t="s">
        <v>64</v>
      </c>
      <c r="C440">
        <v>28</v>
      </c>
      <c r="D440" t="s">
        <v>16</v>
      </c>
      <c r="E440" t="s">
        <v>88</v>
      </c>
      <c r="G440" s="36" t="str">
        <f t="shared" si="6"/>
        <v/>
      </c>
      <c r="H440" s="38" t="str">
        <f>_xlfn.XLOOKUP(A440,Foglio1!A:A,Foglio1!G:G,"")</f>
        <v/>
      </c>
    </row>
    <row r="441" spans="1:8" x14ac:dyDescent="0.3">
      <c r="A441" t="s">
        <v>354</v>
      </c>
      <c r="B441" t="s">
        <v>64</v>
      </c>
      <c r="C441">
        <v>21</v>
      </c>
      <c r="D441" t="s">
        <v>16</v>
      </c>
      <c r="E441" t="s">
        <v>88</v>
      </c>
      <c r="G441" s="36" t="str">
        <f t="shared" si="6"/>
        <v/>
      </c>
      <c r="H441" s="38" t="str">
        <f>_xlfn.XLOOKUP(A441,Foglio1!A:A,Foglio1!G:G,"")</f>
        <v/>
      </c>
    </row>
    <row r="442" spans="1:8" x14ac:dyDescent="0.3">
      <c r="A442" t="s">
        <v>309</v>
      </c>
      <c r="B442" t="s">
        <v>64</v>
      </c>
      <c r="C442">
        <v>20</v>
      </c>
      <c r="D442" t="s">
        <v>16</v>
      </c>
      <c r="E442" t="s">
        <v>60</v>
      </c>
      <c r="G442" s="36" t="str">
        <f t="shared" si="6"/>
        <v/>
      </c>
      <c r="H442" s="38" t="str">
        <f>_xlfn.XLOOKUP(A442,Foglio1!A:A,Foglio1!G:G,"")</f>
        <v/>
      </c>
    </row>
    <row r="443" spans="1:8" x14ac:dyDescent="0.3">
      <c r="A443" t="s">
        <v>257</v>
      </c>
      <c r="B443" t="s">
        <v>64</v>
      </c>
      <c r="C443">
        <v>30</v>
      </c>
      <c r="D443" t="s">
        <v>16</v>
      </c>
      <c r="E443" t="s">
        <v>88</v>
      </c>
      <c r="G443" s="36" t="str">
        <f t="shared" si="6"/>
        <v/>
      </c>
      <c r="H443" s="38" t="str">
        <f>_xlfn.XLOOKUP(A443,Foglio1!A:A,Foglio1!G:G,"")</f>
        <v/>
      </c>
    </row>
    <row r="444" spans="1:8" x14ac:dyDescent="0.3">
      <c r="A444" t="s">
        <v>312</v>
      </c>
      <c r="B444" t="s">
        <v>64</v>
      </c>
      <c r="C444">
        <v>26</v>
      </c>
      <c r="D444" t="s">
        <v>16</v>
      </c>
      <c r="E444" t="s">
        <v>131</v>
      </c>
      <c r="G444" s="36" t="str">
        <f t="shared" si="6"/>
        <v/>
      </c>
      <c r="H444" s="38" t="str">
        <f>_xlfn.XLOOKUP(A444,Foglio1!A:A,Foglio1!G:G,"")</f>
        <v/>
      </c>
    </row>
    <row r="445" spans="1:8" x14ac:dyDescent="0.3">
      <c r="A445" t="s">
        <v>442</v>
      </c>
      <c r="B445" t="s">
        <v>64</v>
      </c>
      <c r="C445">
        <v>26</v>
      </c>
      <c r="D445" t="s">
        <v>20</v>
      </c>
      <c r="E445" t="s">
        <v>34</v>
      </c>
      <c r="G445" s="36" t="str">
        <f t="shared" si="6"/>
        <v/>
      </c>
      <c r="H445" s="38" t="str">
        <f>_xlfn.XLOOKUP(A445,Foglio1!A:A,Foglio1!G:G,"")</f>
        <v/>
      </c>
    </row>
    <row r="446" spans="1:8" x14ac:dyDescent="0.3">
      <c r="A446" t="s">
        <v>476</v>
      </c>
      <c r="B446" t="s">
        <v>64</v>
      </c>
      <c r="C446">
        <v>25</v>
      </c>
      <c r="D446" t="s">
        <v>20</v>
      </c>
      <c r="E446" t="s">
        <v>23</v>
      </c>
      <c r="G446" s="36" t="str">
        <f t="shared" si="6"/>
        <v/>
      </c>
      <c r="H446" s="38" t="str">
        <f>_xlfn.XLOOKUP(A446,Foglio1!A:A,Foglio1!G:G,"")</f>
        <v/>
      </c>
    </row>
    <row r="447" spans="1:8" x14ac:dyDescent="0.3">
      <c r="A447" t="s">
        <v>242</v>
      </c>
      <c r="B447" t="s">
        <v>64</v>
      </c>
      <c r="C447">
        <v>19</v>
      </c>
      <c r="D447" t="s">
        <v>20</v>
      </c>
      <c r="E447" t="s">
        <v>17</v>
      </c>
      <c r="G447" s="36" t="str">
        <f t="shared" si="6"/>
        <v/>
      </c>
      <c r="H447" s="38" t="str">
        <f>_xlfn.XLOOKUP(A447,Foglio1!A:A,Foglio1!G:G,"")</f>
        <v/>
      </c>
    </row>
    <row r="448" spans="1:8" x14ac:dyDescent="0.3">
      <c r="A448" t="s">
        <v>137</v>
      </c>
      <c r="B448" t="s">
        <v>64</v>
      </c>
      <c r="C448">
        <v>23</v>
      </c>
      <c r="D448" t="s">
        <v>20</v>
      </c>
      <c r="E448" t="s">
        <v>23</v>
      </c>
      <c r="G448" s="36" t="str">
        <f t="shared" si="6"/>
        <v/>
      </c>
      <c r="H448" s="38" t="str">
        <f>_xlfn.XLOOKUP(A448,Foglio1!A:A,Foglio1!G:G,"")</f>
        <v/>
      </c>
    </row>
    <row r="449" spans="1:8" x14ac:dyDescent="0.3">
      <c r="A449" t="s">
        <v>289</v>
      </c>
      <c r="B449" t="s">
        <v>64</v>
      </c>
      <c r="C449">
        <v>23</v>
      </c>
      <c r="D449" t="s">
        <v>20</v>
      </c>
      <c r="E449" t="s">
        <v>27</v>
      </c>
      <c r="G449" s="36" t="str">
        <f t="shared" si="6"/>
        <v/>
      </c>
      <c r="H449" s="38" t="str">
        <f>_xlfn.XLOOKUP(A449,Foglio1!A:A,Foglio1!G:G,"")</f>
        <v/>
      </c>
    </row>
    <row r="450" spans="1:8" x14ac:dyDescent="0.3">
      <c r="A450" t="s">
        <v>297</v>
      </c>
      <c r="B450" t="s">
        <v>64</v>
      </c>
      <c r="C450">
        <v>22</v>
      </c>
      <c r="D450" t="s">
        <v>20</v>
      </c>
      <c r="E450" t="s">
        <v>27</v>
      </c>
      <c r="G450" s="36" t="str">
        <f t="shared" si="6"/>
        <v/>
      </c>
      <c r="H450" s="38" t="str">
        <f>_xlfn.XLOOKUP(A450,Foglio1!A:A,Foglio1!G:G,"")</f>
        <v/>
      </c>
    </row>
    <row r="451" spans="1:8" x14ac:dyDescent="0.3">
      <c r="A451" t="s">
        <v>481</v>
      </c>
      <c r="B451" t="s">
        <v>64</v>
      </c>
      <c r="C451">
        <v>25</v>
      </c>
      <c r="D451" t="s">
        <v>20</v>
      </c>
      <c r="E451" t="s">
        <v>20</v>
      </c>
      <c r="G451" s="36" t="str">
        <f t="shared" si="6"/>
        <v/>
      </c>
      <c r="H451" s="38" t="str">
        <f>_xlfn.XLOOKUP(A451,Foglio1!A:A,Foglio1!G:G,"")</f>
        <v/>
      </c>
    </row>
    <row r="452" spans="1:8" x14ac:dyDescent="0.3">
      <c r="A452" t="s">
        <v>384</v>
      </c>
      <c r="B452" t="s">
        <v>64</v>
      </c>
      <c r="C452">
        <v>22</v>
      </c>
      <c r="D452" t="s">
        <v>20</v>
      </c>
      <c r="E452" t="s">
        <v>27</v>
      </c>
      <c r="G452" s="36" t="str">
        <f t="shared" si="6"/>
        <v/>
      </c>
      <c r="H452" s="38" t="str">
        <f>_xlfn.XLOOKUP(A452,Foglio1!A:A,Foglio1!G:G,"")</f>
        <v/>
      </c>
    </row>
    <row r="453" spans="1:8" x14ac:dyDescent="0.3">
      <c r="A453" t="s">
        <v>333</v>
      </c>
      <c r="B453" t="s">
        <v>64</v>
      </c>
      <c r="C453">
        <v>21</v>
      </c>
      <c r="D453" t="s">
        <v>20</v>
      </c>
      <c r="E453" t="s">
        <v>34</v>
      </c>
      <c r="G453" s="36" t="str">
        <f t="shared" ref="G453:G514" si="7">IFERROR(AVERAGE(I453:U453),"")</f>
        <v/>
      </c>
      <c r="H453" s="38" t="str">
        <f>_xlfn.XLOOKUP(A453,Foglio1!A:A,Foglio1!G:G,"")</f>
        <v/>
      </c>
    </row>
    <row r="454" spans="1:8" x14ac:dyDescent="0.3">
      <c r="A454" t="s">
        <v>165</v>
      </c>
      <c r="B454" t="s">
        <v>64</v>
      </c>
      <c r="C454">
        <v>24</v>
      </c>
      <c r="D454" t="s">
        <v>20</v>
      </c>
      <c r="E454" t="s">
        <v>83</v>
      </c>
      <c r="G454" s="36" t="str">
        <f t="shared" si="7"/>
        <v/>
      </c>
      <c r="H454" s="38" t="str">
        <f>_xlfn.XLOOKUP(A454,Foglio1!A:A,Foglio1!G:G,"")</f>
        <v/>
      </c>
    </row>
    <row r="455" spans="1:8" x14ac:dyDescent="0.3">
      <c r="A455" t="s">
        <v>65</v>
      </c>
      <c r="B455" t="s">
        <v>64</v>
      </c>
      <c r="C455">
        <v>29</v>
      </c>
      <c r="D455" t="s">
        <v>20</v>
      </c>
      <c r="E455" t="s">
        <v>48</v>
      </c>
      <c r="G455" s="36" t="str">
        <f t="shared" si="7"/>
        <v/>
      </c>
      <c r="H455" s="38" t="str">
        <f>_xlfn.XLOOKUP(A455,Foglio1!A:A,Foglio1!G:G,"")</f>
        <v/>
      </c>
    </row>
    <row r="456" spans="1:8" x14ac:dyDescent="0.3">
      <c r="A456" t="s">
        <v>148</v>
      </c>
      <c r="B456" t="s">
        <v>64</v>
      </c>
      <c r="C456">
        <v>30</v>
      </c>
      <c r="D456" t="s">
        <v>8</v>
      </c>
      <c r="E456" t="s">
        <v>8</v>
      </c>
      <c r="G456" s="36" t="str">
        <f t="shared" si="7"/>
        <v/>
      </c>
      <c r="H456" s="38" t="str">
        <f>_xlfn.XLOOKUP(A456,Foglio1!A:A,Foglio1!G:G,"")</f>
        <v/>
      </c>
    </row>
    <row r="457" spans="1:8" x14ac:dyDescent="0.3">
      <c r="A457" t="s">
        <v>370</v>
      </c>
      <c r="B457" t="s">
        <v>64</v>
      </c>
      <c r="C457">
        <v>27</v>
      </c>
      <c r="D457" t="s">
        <v>8</v>
      </c>
      <c r="E457" t="s">
        <v>9</v>
      </c>
      <c r="G457" s="36" t="str">
        <f t="shared" si="7"/>
        <v/>
      </c>
      <c r="H457" s="38" t="str">
        <f>_xlfn.XLOOKUP(A457,Foglio1!A:A,Foglio1!G:G,"")</f>
        <v/>
      </c>
    </row>
    <row r="458" spans="1:8" x14ac:dyDescent="0.3">
      <c r="A458" t="s">
        <v>63</v>
      </c>
      <c r="B458" t="s">
        <v>64</v>
      </c>
      <c r="C458">
        <v>31</v>
      </c>
      <c r="D458" t="s">
        <v>8</v>
      </c>
      <c r="E458" t="s">
        <v>9</v>
      </c>
      <c r="G458" s="36" t="str">
        <f t="shared" si="7"/>
        <v/>
      </c>
      <c r="H458" s="38" t="str">
        <f>_xlfn.XLOOKUP(A458,Foglio1!A:A,Foglio1!G:G,"")</f>
        <v/>
      </c>
    </row>
    <row r="459" spans="1:8" x14ac:dyDescent="0.3">
      <c r="A459" t="s">
        <v>241</v>
      </c>
      <c r="B459" t="s">
        <v>64</v>
      </c>
      <c r="C459">
        <v>35</v>
      </c>
      <c r="D459" t="s">
        <v>8</v>
      </c>
      <c r="E459" t="s">
        <v>9</v>
      </c>
      <c r="G459" s="36" t="str">
        <f t="shared" si="7"/>
        <v/>
      </c>
      <c r="H459" s="38" t="str">
        <f>_xlfn.XLOOKUP(A459,Foglio1!A:A,Foglio1!G:G,"")</f>
        <v/>
      </c>
    </row>
    <row r="460" spans="1:8" x14ac:dyDescent="0.3">
      <c r="A460" t="s">
        <v>163</v>
      </c>
      <c r="B460" t="s">
        <v>42</v>
      </c>
      <c r="C460">
        <v>27</v>
      </c>
      <c r="D460" t="s">
        <v>71</v>
      </c>
      <c r="E460" t="s">
        <v>72</v>
      </c>
      <c r="G460" s="36" t="str">
        <f t="shared" si="7"/>
        <v/>
      </c>
      <c r="H460" s="38">
        <f>_xlfn.XLOOKUP(A460,Foglio1!A:A,Foglio1!G:G,"")</f>
        <v>7.7</v>
      </c>
    </row>
    <row r="461" spans="1:8" x14ac:dyDescent="0.3">
      <c r="A461" t="s">
        <v>562</v>
      </c>
      <c r="B461" t="s">
        <v>42</v>
      </c>
      <c r="C461">
        <v>41</v>
      </c>
      <c r="D461" t="s">
        <v>71</v>
      </c>
      <c r="E461" t="s">
        <v>72</v>
      </c>
      <c r="G461" s="36" t="str">
        <f t="shared" si="7"/>
        <v/>
      </c>
      <c r="H461" s="38" t="str">
        <f>_xlfn.XLOOKUP(A461,Foglio1!A:A,Foglio1!G:G,"")</f>
        <v/>
      </c>
    </row>
    <row r="462" spans="1:8" x14ac:dyDescent="0.3">
      <c r="A462" t="s">
        <v>550</v>
      </c>
      <c r="B462" t="s">
        <v>42</v>
      </c>
      <c r="C462">
        <v>23</v>
      </c>
      <c r="D462" t="s">
        <v>71</v>
      </c>
      <c r="E462" t="s">
        <v>72</v>
      </c>
      <c r="G462" s="36" t="str">
        <f t="shared" si="7"/>
        <v/>
      </c>
      <c r="H462" s="38" t="str">
        <f>_xlfn.XLOOKUP(A462,Foglio1!A:A,Foglio1!G:G,"")</f>
        <v/>
      </c>
    </row>
    <row r="463" spans="1:8" x14ac:dyDescent="0.3">
      <c r="A463" t="s">
        <v>496</v>
      </c>
      <c r="B463" t="s">
        <v>42</v>
      </c>
      <c r="C463">
        <v>22</v>
      </c>
      <c r="D463" t="s">
        <v>16</v>
      </c>
      <c r="E463" t="s">
        <v>111</v>
      </c>
      <c r="G463" s="36" t="str">
        <f t="shared" si="7"/>
        <v/>
      </c>
      <c r="H463" s="38">
        <f>_xlfn.XLOOKUP(A463,Foglio1!A:A,Foglio1!G:G,"")</f>
        <v>6.8</v>
      </c>
    </row>
    <row r="464" spans="1:8" x14ac:dyDescent="0.3">
      <c r="A464" t="s">
        <v>424</v>
      </c>
      <c r="B464" t="s">
        <v>42</v>
      </c>
      <c r="C464">
        <v>21</v>
      </c>
      <c r="D464" t="s">
        <v>16</v>
      </c>
      <c r="E464" t="s">
        <v>188</v>
      </c>
      <c r="G464" s="36" t="str">
        <f t="shared" si="7"/>
        <v/>
      </c>
      <c r="H464" s="38" t="str">
        <f>_xlfn.XLOOKUP(A464,Foglio1!A:A,Foglio1!G:G,"")</f>
        <v/>
      </c>
    </row>
    <row r="465" spans="1:8" x14ac:dyDescent="0.3">
      <c r="A465" t="s">
        <v>399</v>
      </c>
      <c r="B465" t="s">
        <v>42</v>
      </c>
      <c r="C465">
        <v>23</v>
      </c>
      <c r="D465" t="s">
        <v>16</v>
      </c>
      <c r="E465" t="s">
        <v>400</v>
      </c>
      <c r="G465" s="36" t="str">
        <f t="shared" si="7"/>
        <v/>
      </c>
      <c r="H465" s="38" t="str">
        <f>_xlfn.XLOOKUP(A465,Foglio1!A:A,Foglio1!G:G,"")</f>
        <v/>
      </c>
    </row>
    <row r="466" spans="1:8" x14ac:dyDescent="0.3">
      <c r="A466" t="s">
        <v>497</v>
      </c>
      <c r="B466" t="s">
        <v>42</v>
      </c>
      <c r="C466">
        <v>27</v>
      </c>
      <c r="D466" t="s">
        <v>16</v>
      </c>
      <c r="E466" t="s">
        <v>146</v>
      </c>
      <c r="G466" s="36" t="str">
        <f t="shared" si="7"/>
        <v/>
      </c>
      <c r="H466" s="38">
        <f>_xlfn.XLOOKUP(A466,Foglio1!A:A,Foglio1!G:G,"")</f>
        <v>7.1</v>
      </c>
    </row>
    <row r="467" spans="1:8" x14ac:dyDescent="0.3">
      <c r="A467" t="s">
        <v>407</v>
      </c>
      <c r="B467" t="s">
        <v>42</v>
      </c>
      <c r="C467">
        <v>35</v>
      </c>
      <c r="D467" t="s">
        <v>16</v>
      </c>
      <c r="E467" t="s">
        <v>88</v>
      </c>
      <c r="G467" s="36" t="str">
        <f t="shared" si="7"/>
        <v/>
      </c>
      <c r="H467" s="38" t="str">
        <f>_xlfn.XLOOKUP(A467,Foglio1!A:A,Foglio1!G:G,"")</f>
        <v/>
      </c>
    </row>
    <row r="468" spans="1:8" x14ac:dyDescent="0.3">
      <c r="A468" t="s">
        <v>359</v>
      </c>
      <c r="B468" t="s">
        <v>42</v>
      </c>
      <c r="C468">
        <v>32</v>
      </c>
      <c r="D468" t="s">
        <v>16</v>
      </c>
      <c r="E468" t="s">
        <v>188</v>
      </c>
      <c r="G468" s="36" t="str">
        <f t="shared" si="7"/>
        <v/>
      </c>
      <c r="H468" s="38">
        <f>_xlfn.XLOOKUP(A468,Foglio1!A:A,Foglio1!G:G,"")</f>
        <v>7.2</v>
      </c>
    </row>
    <row r="469" spans="1:8" x14ac:dyDescent="0.3">
      <c r="A469" t="s">
        <v>488</v>
      </c>
      <c r="B469" t="s">
        <v>42</v>
      </c>
      <c r="C469">
        <v>19</v>
      </c>
      <c r="D469" t="s">
        <v>16</v>
      </c>
      <c r="E469" t="s">
        <v>88</v>
      </c>
      <c r="G469" s="36" t="str">
        <f t="shared" si="7"/>
        <v/>
      </c>
      <c r="H469" s="38" t="str">
        <f>_xlfn.XLOOKUP(A469,Foglio1!A:A,Foglio1!G:G,"")</f>
        <v/>
      </c>
    </row>
    <row r="470" spans="1:8" x14ac:dyDescent="0.3">
      <c r="A470" t="s">
        <v>457</v>
      </c>
      <c r="B470" t="s">
        <v>42</v>
      </c>
      <c r="C470">
        <v>18</v>
      </c>
      <c r="D470" t="s">
        <v>16</v>
      </c>
      <c r="E470" t="s">
        <v>88</v>
      </c>
      <c r="G470" s="36" t="str">
        <f t="shared" si="7"/>
        <v/>
      </c>
      <c r="H470" s="38">
        <f>_xlfn.XLOOKUP(A470,Foglio1!A:A,Foglio1!G:G,"")</f>
        <v>6.8</v>
      </c>
    </row>
    <row r="471" spans="1:8" x14ac:dyDescent="0.3">
      <c r="A471" t="s">
        <v>109</v>
      </c>
      <c r="B471" t="s">
        <v>42</v>
      </c>
      <c r="C471">
        <v>26</v>
      </c>
      <c r="D471" t="s">
        <v>16</v>
      </c>
      <c r="E471" t="s">
        <v>88</v>
      </c>
      <c r="G471" s="36" t="str">
        <f t="shared" si="7"/>
        <v/>
      </c>
      <c r="H471" s="38">
        <f>_xlfn.XLOOKUP(A471,Foglio1!A:A,Foglio1!G:G,"")</f>
        <v>6.3</v>
      </c>
    </row>
    <row r="472" spans="1:8" x14ac:dyDescent="0.3">
      <c r="A472" t="s">
        <v>234</v>
      </c>
      <c r="B472" t="s">
        <v>42</v>
      </c>
      <c r="C472">
        <v>31</v>
      </c>
      <c r="D472" t="s">
        <v>16</v>
      </c>
      <c r="E472" t="s">
        <v>131</v>
      </c>
      <c r="G472" s="36" t="str">
        <f t="shared" si="7"/>
        <v/>
      </c>
      <c r="H472" s="38">
        <f>_xlfn.XLOOKUP(A472,Foglio1!A:A,Foglio1!G:G,"")</f>
        <v>7.4</v>
      </c>
    </row>
    <row r="473" spans="1:8" x14ac:dyDescent="0.3">
      <c r="A473" t="s">
        <v>401</v>
      </c>
      <c r="B473" t="s">
        <v>42</v>
      </c>
      <c r="C473">
        <v>26</v>
      </c>
      <c r="D473" t="s">
        <v>16</v>
      </c>
      <c r="E473" t="s">
        <v>131</v>
      </c>
      <c r="G473" s="36" t="str">
        <f t="shared" si="7"/>
        <v/>
      </c>
      <c r="H473" s="38" t="str">
        <f>_xlfn.XLOOKUP(A473,Foglio1!A:A,Foglio1!G:G,"")</f>
        <v/>
      </c>
    </row>
    <row r="474" spans="1:8" x14ac:dyDescent="0.3">
      <c r="A474" t="s">
        <v>472</v>
      </c>
      <c r="B474" t="s">
        <v>42</v>
      </c>
      <c r="C474">
        <v>18</v>
      </c>
      <c r="D474" t="s">
        <v>20</v>
      </c>
      <c r="E474" t="s">
        <v>27</v>
      </c>
      <c r="G474" s="36" t="str">
        <f t="shared" si="7"/>
        <v/>
      </c>
      <c r="H474" s="38" t="str">
        <f>_xlfn.XLOOKUP(A474,Foglio1!A:A,Foglio1!G:G,"")</f>
        <v/>
      </c>
    </row>
    <row r="475" spans="1:8" x14ac:dyDescent="0.3">
      <c r="A475" t="s">
        <v>440</v>
      </c>
      <c r="B475" t="s">
        <v>42</v>
      </c>
      <c r="C475">
        <v>27</v>
      </c>
      <c r="D475" t="s">
        <v>20</v>
      </c>
      <c r="E475" t="s">
        <v>83</v>
      </c>
      <c r="G475" s="36" t="str">
        <f t="shared" si="7"/>
        <v/>
      </c>
      <c r="H475" s="38" t="str">
        <f>_xlfn.XLOOKUP(A475,Foglio1!A:A,Foglio1!G:G,"")</f>
        <v/>
      </c>
    </row>
    <row r="476" spans="1:8" x14ac:dyDescent="0.3">
      <c r="A476" t="s">
        <v>119</v>
      </c>
      <c r="B476" t="s">
        <v>42</v>
      </c>
      <c r="C476">
        <v>26</v>
      </c>
      <c r="D476" t="s">
        <v>20</v>
      </c>
      <c r="E476" t="s">
        <v>23</v>
      </c>
      <c r="G476" s="36" t="str">
        <f t="shared" si="7"/>
        <v/>
      </c>
      <c r="H476" s="38">
        <f>_xlfn.XLOOKUP(A476,Foglio1!A:A,Foglio1!G:G,"")</f>
        <v>7.4</v>
      </c>
    </row>
    <row r="477" spans="1:8" x14ac:dyDescent="0.3">
      <c r="A477" t="s">
        <v>222</v>
      </c>
      <c r="B477" t="s">
        <v>42</v>
      </c>
      <c r="C477">
        <v>31</v>
      </c>
      <c r="D477" t="s">
        <v>20</v>
      </c>
      <c r="E477" t="s">
        <v>27</v>
      </c>
      <c r="G477" s="36" t="str">
        <f t="shared" si="7"/>
        <v/>
      </c>
      <c r="H477" s="38">
        <f>_xlfn.XLOOKUP(A477,Foglio1!A:A,Foglio1!G:G,"")</f>
        <v>6.6</v>
      </c>
    </row>
    <row r="478" spans="1:8" x14ac:dyDescent="0.3">
      <c r="A478" t="s">
        <v>330</v>
      </c>
      <c r="B478" t="s">
        <v>42</v>
      </c>
      <c r="C478">
        <v>20</v>
      </c>
      <c r="D478" t="s">
        <v>20</v>
      </c>
      <c r="E478" t="s">
        <v>27</v>
      </c>
      <c r="G478" s="36" t="str">
        <f t="shared" si="7"/>
        <v/>
      </c>
      <c r="H478" s="38">
        <f>_xlfn.XLOOKUP(A478,Foglio1!A:A,Foglio1!G:G,"")</f>
        <v>6.6</v>
      </c>
    </row>
    <row r="479" spans="1:8" x14ac:dyDescent="0.3">
      <c r="A479" t="s">
        <v>263</v>
      </c>
      <c r="B479" t="s">
        <v>42</v>
      </c>
      <c r="C479">
        <v>29</v>
      </c>
      <c r="D479" t="s">
        <v>20</v>
      </c>
      <c r="E479" t="s">
        <v>27</v>
      </c>
      <c r="G479" s="36" t="str">
        <f t="shared" si="7"/>
        <v/>
      </c>
      <c r="H479" s="38">
        <f>_xlfn.XLOOKUP(A479,Foglio1!A:A,Foglio1!G:G,"")</f>
        <v>6.5</v>
      </c>
    </row>
    <row r="480" spans="1:8" x14ac:dyDescent="0.3">
      <c r="A480" t="s">
        <v>194</v>
      </c>
      <c r="B480" t="s">
        <v>42</v>
      </c>
      <c r="C480">
        <v>23</v>
      </c>
      <c r="D480" t="s">
        <v>20</v>
      </c>
      <c r="E480" t="s">
        <v>48</v>
      </c>
      <c r="G480" s="36" t="str">
        <f t="shared" si="7"/>
        <v/>
      </c>
      <c r="H480" s="38" t="str">
        <f>_xlfn.XLOOKUP(A480,Foglio1!A:A,Foglio1!G:G,"")</f>
        <v/>
      </c>
    </row>
    <row r="481" spans="1:17" x14ac:dyDescent="0.3">
      <c r="A481" t="s">
        <v>50</v>
      </c>
      <c r="B481" t="s">
        <v>42</v>
      </c>
      <c r="C481">
        <v>27</v>
      </c>
      <c r="D481" t="s">
        <v>20</v>
      </c>
      <c r="E481" t="s">
        <v>21</v>
      </c>
      <c r="G481" s="36" t="str">
        <f t="shared" si="7"/>
        <v/>
      </c>
      <c r="H481" s="38">
        <f>_xlfn.XLOOKUP(A481,Foglio1!A:A,Foglio1!G:G,"")</f>
        <v>7.5</v>
      </c>
    </row>
    <row r="482" spans="1:17" x14ac:dyDescent="0.3">
      <c r="A482" t="s">
        <v>479</v>
      </c>
      <c r="B482" t="s">
        <v>42</v>
      </c>
      <c r="C482">
        <v>27</v>
      </c>
      <c r="D482" t="s">
        <v>20</v>
      </c>
      <c r="E482" t="s">
        <v>27</v>
      </c>
      <c r="G482" s="36" t="str">
        <f t="shared" si="7"/>
        <v/>
      </c>
      <c r="H482" s="38" t="str">
        <f>_xlfn.XLOOKUP(A482,Foglio1!A:A,Foglio1!G:G,"")</f>
        <v/>
      </c>
    </row>
    <row r="483" spans="1:17" x14ac:dyDescent="0.3">
      <c r="A483" t="s">
        <v>469</v>
      </c>
      <c r="B483" t="s">
        <v>42</v>
      </c>
      <c r="C483">
        <v>29</v>
      </c>
      <c r="D483" t="s">
        <v>8</v>
      </c>
      <c r="E483" t="s">
        <v>9</v>
      </c>
      <c r="G483" s="36" t="str">
        <f t="shared" si="7"/>
        <v/>
      </c>
      <c r="H483" s="38">
        <f>_xlfn.XLOOKUP(A483,Foglio1!A:A,Foglio1!G:G,"")</f>
        <v>6.2</v>
      </c>
    </row>
    <row r="484" spans="1:17" x14ac:dyDescent="0.3">
      <c r="A484" t="s">
        <v>468</v>
      </c>
      <c r="B484" t="s">
        <v>42</v>
      </c>
      <c r="C484">
        <v>30</v>
      </c>
      <c r="D484" t="s">
        <v>8</v>
      </c>
      <c r="E484" t="s">
        <v>9</v>
      </c>
      <c r="G484" s="36" t="str">
        <f t="shared" si="7"/>
        <v/>
      </c>
      <c r="H484" s="38" t="str">
        <f>_xlfn.XLOOKUP(A484,Foglio1!A:A,Foglio1!G:G,"")</f>
        <v/>
      </c>
    </row>
    <row r="485" spans="1:17" x14ac:dyDescent="0.3">
      <c r="A485" t="s">
        <v>41</v>
      </c>
      <c r="B485" t="s">
        <v>42</v>
      </c>
      <c r="C485">
        <v>28</v>
      </c>
      <c r="D485" t="s">
        <v>8</v>
      </c>
      <c r="E485" t="s">
        <v>9</v>
      </c>
      <c r="G485" s="36" t="str">
        <f t="shared" si="7"/>
        <v/>
      </c>
      <c r="H485" s="38" t="str">
        <f>_xlfn.XLOOKUP(A485,Foglio1!A:A,Foglio1!G:G,"")</f>
        <v/>
      </c>
    </row>
    <row r="486" spans="1:17" x14ac:dyDescent="0.3">
      <c r="A486" t="s">
        <v>411</v>
      </c>
      <c r="B486" t="s">
        <v>42</v>
      </c>
      <c r="C486">
        <v>20</v>
      </c>
      <c r="D486" t="s">
        <v>8</v>
      </c>
      <c r="E486" t="s">
        <v>9</v>
      </c>
      <c r="G486" s="36" t="str">
        <f t="shared" si="7"/>
        <v/>
      </c>
      <c r="H486" s="38">
        <f>_xlfn.XLOOKUP(A486,Foglio1!A:A,Foglio1!G:G,"")</f>
        <v>6.4</v>
      </c>
    </row>
    <row r="487" spans="1:17" x14ac:dyDescent="0.3">
      <c r="A487" t="s">
        <v>545</v>
      </c>
      <c r="B487" t="s">
        <v>94</v>
      </c>
      <c r="C487">
        <v>34</v>
      </c>
      <c r="D487" t="s">
        <v>71</v>
      </c>
      <c r="E487" t="s">
        <v>72</v>
      </c>
      <c r="G487" s="36" t="str">
        <f t="shared" si="7"/>
        <v/>
      </c>
      <c r="H487" s="38" t="str">
        <f>_xlfn.XLOOKUP(A487,Foglio1!A:A,Foglio1!G:G,"")</f>
        <v/>
      </c>
    </row>
    <row r="488" spans="1:17" x14ac:dyDescent="0.3">
      <c r="A488" t="s">
        <v>552</v>
      </c>
      <c r="B488" t="s">
        <v>94</v>
      </c>
      <c r="C488">
        <v>30</v>
      </c>
      <c r="D488" t="s">
        <v>71</v>
      </c>
      <c r="E488" t="s">
        <v>72</v>
      </c>
      <c r="G488" s="36">
        <f t="shared" si="7"/>
        <v>6.6571428571428575</v>
      </c>
      <c r="H488" s="38" t="str">
        <f>_xlfn.XLOOKUP(A488,Foglio1!A:A,Foglio1!G:G,"")</f>
        <v/>
      </c>
      <c r="I488" s="28">
        <v>6.5</v>
      </c>
      <c r="J488" s="28">
        <v>6.3</v>
      </c>
      <c r="K488" s="28">
        <v>6.7</v>
      </c>
      <c r="L488" s="28">
        <v>6.7</v>
      </c>
      <c r="M488" s="28">
        <v>6.6</v>
      </c>
      <c r="N488" s="28" t="s">
        <v>761</v>
      </c>
      <c r="O488" s="29">
        <v>7.1</v>
      </c>
      <c r="P488" s="29">
        <v>6.7</v>
      </c>
    </row>
    <row r="489" spans="1:17" x14ac:dyDescent="0.3">
      <c r="A489" t="s">
        <v>534</v>
      </c>
      <c r="B489" t="s">
        <v>94</v>
      </c>
      <c r="C489">
        <v>26</v>
      </c>
      <c r="D489" t="s">
        <v>71</v>
      </c>
      <c r="E489" t="s">
        <v>72</v>
      </c>
      <c r="G489" s="36" t="str">
        <f t="shared" si="7"/>
        <v/>
      </c>
      <c r="H489" s="38" t="str">
        <f>_xlfn.XLOOKUP(A489,Foglio1!A:A,Foglio1!G:G,"")</f>
        <v/>
      </c>
    </row>
    <row r="490" spans="1:17" x14ac:dyDescent="0.3">
      <c r="A490" t="s">
        <v>320</v>
      </c>
      <c r="B490" t="s">
        <v>94</v>
      </c>
      <c r="C490">
        <v>24</v>
      </c>
      <c r="D490" t="s">
        <v>71</v>
      </c>
      <c r="E490" t="s">
        <v>72</v>
      </c>
      <c r="G490" s="36">
        <f t="shared" si="7"/>
        <v>6.88</v>
      </c>
      <c r="H490" s="38" t="str">
        <f>_xlfn.XLOOKUP(A490,Foglio1!A:A,Foglio1!G:G,"")</f>
        <v/>
      </c>
      <c r="I490" s="29">
        <v>7.1</v>
      </c>
      <c r="J490" s="28">
        <v>6.8</v>
      </c>
      <c r="K490" s="29">
        <v>6.7</v>
      </c>
      <c r="L490" s="33">
        <v>6.7</v>
      </c>
      <c r="M490" s="33">
        <v>7.1</v>
      </c>
    </row>
    <row r="491" spans="1:17" x14ac:dyDescent="0.3">
      <c r="A491" t="s">
        <v>308</v>
      </c>
      <c r="B491" t="s">
        <v>94</v>
      </c>
      <c r="C491">
        <v>25</v>
      </c>
      <c r="D491" t="s">
        <v>16</v>
      </c>
      <c r="E491" t="s">
        <v>88</v>
      </c>
      <c r="G491" s="36">
        <f t="shared" si="7"/>
        <v>6.7750000000000012</v>
      </c>
      <c r="H491" s="38" t="str">
        <f>_xlfn.XLOOKUP(A491,Foglio1!A:A,Foglio1!G:G,"")</f>
        <v/>
      </c>
      <c r="I491" s="28">
        <v>6.7</v>
      </c>
      <c r="J491" s="33">
        <v>6.3</v>
      </c>
      <c r="K491" s="33">
        <v>6.7</v>
      </c>
      <c r="L491" s="33">
        <v>6.8</v>
      </c>
      <c r="M491" s="33">
        <v>6.7</v>
      </c>
      <c r="N491" s="30">
        <v>7.2</v>
      </c>
      <c r="O491" s="30">
        <v>6.6</v>
      </c>
      <c r="P491" s="30">
        <v>7.2</v>
      </c>
      <c r="Q491"/>
    </row>
    <row r="492" spans="1:17" x14ac:dyDescent="0.3">
      <c r="A492" t="s">
        <v>361</v>
      </c>
      <c r="B492" t="s">
        <v>94</v>
      </c>
      <c r="C492">
        <v>27</v>
      </c>
      <c r="D492" t="s">
        <v>16</v>
      </c>
      <c r="E492" t="s">
        <v>131</v>
      </c>
      <c r="G492" s="36" t="str">
        <f t="shared" si="7"/>
        <v/>
      </c>
      <c r="H492" s="38" t="str">
        <f>_xlfn.XLOOKUP(A492,Foglio1!A:A,Foglio1!G:G,"")</f>
        <v/>
      </c>
    </row>
    <row r="493" spans="1:17" x14ac:dyDescent="0.3">
      <c r="A493" t="s">
        <v>484</v>
      </c>
      <c r="B493" t="s">
        <v>94</v>
      </c>
      <c r="C493">
        <v>26</v>
      </c>
      <c r="D493" t="s">
        <v>16</v>
      </c>
      <c r="E493" t="s">
        <v>171</v>
      </c>
      <c r="G493" s="36" t="str">
        <f t="shared" si="7"/>
        <v/>
      </c>
      <c r="H493" s="38" t="str">
        <f>_xlfn.XLOOKUP(A493,Foglio1!A:A,Foglio1!G:G,"")</f>
        <v/>
      </c>
    </row>
    <row r="494" spans="1:17" x14ac:dyDescent="0.3">
      <c r="A494" t="s">
        <v>520</v>
      </c>
      <c r="B494" t="s">
        <v>94</v>
      </c>
      <c r="C494">
        <v>18</v>
      </c>
      <c r="D494" t="s">
        <v>16</v>
      </c>
      <c r="E494" t="s">
        <v>146</v>
      </c>
      <c r="G494" s="36">
        <f t="shared" si="7"/>
        <v>6.3</v>
      </c>
      <c r="H494" s="38" t="str">
        <f>_xlfn.XLOOKUP(A494,Foglio1!A:A,Foglio1!G:G,"")</f>
        <v/>
      </c>
      <c r="I494" s="30">
        <v>6.3</v>
      </c>
    </row>
    <row r="495" spans="1:17" x14ac:dyDescent="0.3">
      <c r="A495" t="s">
        <v>429</v>
      </c>
      <c r="B495" t="s">
        <v>94</v>
      </c>
      <c r="C495">
        <v>24</v>
      </c>
      <c r="D495" t="s">
        <v>16</v>
      </c>
      <c r="E495" t="s">
        <v>131</v>
      </c>
      <c r="G495" s="36" t="str">
        <f t="shared" si="7"/>
        <v/>
      </c>
      <c r="H495" s="38" t="str">
        <f>_xlfn.XLOOKUP(A495,Foglio1!A:A,Foglio1!G:G,"")</f>
        <v/>
      </c>
    </row>
    <row r="496" spans="1:17" x14ac:dyDescent="0.3">
      <c r="A496" t="s">
        <v>386</v>
      </c>
      <c r="B496" t="s">
        <v>94</v>
      </c>
      <c r="C496">
        <v>23</v>
      </c>
      <c r="D496" t="s">
        <v>16</v>
      </c>
      <c r="E496" t="s">
        <v>88</v>
      </c>
      <c r="G496" s="36">
        <f t="shared" si="7"/>
        <v>6.85</v>
      </c>
      <c r="H496" s="38" t="str">
        <f>_xlfn.XLOOKUP(A496,Foglio1!A:A,Foglio1!G:G,"")</f>
        <v/>
      </c>
      <c r="I496" s="33">
        <v>6.7</v>
      </c>
      <c r="J496" s="30">
        <v>7</v>
      </c>
    </row>
    <row r="497" spans="1:18" x14ac:dyDescent="0.3">
      <c r="A497" t="s">
        <v>358</v>
      </c>
      <c r="B497" t="s">
        <v>94</v>
      </c>
      <c r="C497">
        <v>33</v>
      </c>
      <c r="D497" t="s">
        <v>16</v>
      </c>
      <c r="E497" t="s">
        <v>188</v>
      </c>
      <c r="G497" s="36">
        <f t="shared" si="7"/>
        <v>7.0199999999999987</v>
      </c>
      <c r="H497" s="38" t="str">
        <f>_xlfn.XLOOKUP(A497,Foglio1!A:A,Foglio1!G:G,"")</f>
        <v/>
      </c>
      <c r="I497" s="29">
        <v>6.9</v>
      </c>
      <c r="J497" s="28">
        <v>6.6</v>
      </c>
      <c r="K497" s="28">
        <v>6.5</v>
      </c>
      <c r="L497" s="29">
        <v>6.9</v>
      </c>
      <c r="M497" s="28">
        <v>6.7</v>
      </c>
      <c r="N497" s="33">
        <v>7.3</v>
      </c>
      <c r="O497" s="33">
        <v>7.4</v>
      </c>
      <c r="P497" s="33">
        <v>7.3</v>
      </c>
      <c r="Q497" s="33">
        <v>7.3</v>
      </c>
      <c r="R497" s="33">
        <v>7.3</v>
      </c>
    </row>
    <row r="498" spans="1:18" x14ac:dyDescent="0.3">
      <c r="A498" t="s">
        <v>351</v>
      </c>
      <c r="B498" t="s">
        <v>94</v>
      </c>
      <c r="C498">
        <v>23</v>
      </c>
      <c r="D498" t="s">
        <v>16</v>
      </c>
      <c r="E498" t="s">
        <v>88</v>
      </c>
      <c r="G498" s="36">
        <f t="shared" si="7"/>
        <v>6.666666666666667</v>
      </c>
      <c r="H498" s="38" t="str">
        <f>_xlfn.XLOOKUP(A498,Foglio1!A:A,Foglio1!G:G,"")</f>
        <v/>
      </c>
      <c r="I498" s="33">
        <v>6.7</v>
      </c>
      <c r="J498" s="28">
        <v>6.7</v>
      </c>
      <c r="K498" s="33">
        <v>6.6</v>
      </c>
    </row>
    <row r="499" spans="1:18" x14ac:dyDescent="0.3">
      <c r="A499" t="s">
        <v>493</v>
      </c>
      <c r="B499" t="s">
        <v>94</v>
      </c>
      <c r="C499">
        <v>22</v>
      </c>
      <c r="D499" t="s">
        <v>16</v>
      </c>
      <c r="E499" t="s">
        <v>131</v>
      </c>
      <c r="G499" s="36" t="str">
        <f t="shared" si="7"/>
        <v/>
      </c>
      <c r="H499" s="38" t="str">
        <f>_xlfn.XLOOKUP(A499,Foglio1!A:A,Foglio1!G:G,"")</f>
        <v/>
      </c>
    </row>
    <row r="500" spans="1:18" x14ac:dyDescent="0.3">
      <c r="A500" t="s">
        <v>428</v>
      </c>
      <c r="B500" t="s">
        <v>94</v>
      </c>
      <c r="C500">
        <v>24</v>
      </c>
      <c r="D500" t="s">
        <v>16</v>
      </c>
      <c r="E500" t="s">
        <v>88</v>
      </c>
      <c r="G500" s="36" t="str">
        <f t="shared" si="7"/>
        <v/>
      </c>
      <c r="H500" s="38" t="str">
        <f>_xlfn.XLOOKUP(A500,Foglio1!A:A,Foglio1!G:G,"")</f>
        <v/>
      </c>
    </row>
    <row r="501" spans="1:18" x14ac:dyDescent="0.3">
      <c r="A501" t="s">
        <v>430</v>
      </c>
      <c r="B501" t="s">
        <v>94</v>
      </c>
      <c r="C501">
        <v>28</v>
      </c>
      <c r="D501" t="s">
        <v>16</v>
      </c>
      <c r="E501" t="s">
        <v>146</v>
      </c>
      <c r="G501" s="36" t="str">
        <f t="shared" si="7"/>
        <v/>
      </c>
      <c r="H501" s="38" t="str">
        <f>_xlfn.XLOOKUP(A501,Foglio1!A:A,Foglio1!G:G,"")</f>
        <v/>
      </c>
    </row>
    <row r="502" spans="1:18" x14ac:dyDescent="0.3">
      <c r="A502" t="s">
        <v>226</v>
      </c>
      <c r="B502" t="s">
        <v>94</v>
      </c>
      <c r="C502">
        <v>30</v>
      </c>
      <c r="D502" t="s">
        <v>20</v>
      </c>
      <c r="E502" t="s">
        <v>27</v>
      </c>
      <c r="G502" s="36" t="str">
        <f t="shared" si="7"/>
        <v/>
      </c>
      <c r="H502" s="38" t="str">
        <f>_xlfn.XLOOKUP(A502,Foglio1!A:A,Foglio1!G:G,"")</f>
        <v/>
      </c>
    </row>
    <row r="503" spans="1:18" x14ac:dyDescent="0.3">
      <c r="A503" t="s">
        <v>301</v>
      </c>
      <c r="B503" t="s">
        <v>94</v>
      </c>
      <c r="C503">
        <v>24</v>
      </c>
      <c r="D503" t="s">
        <v>20</v>
      </c>
      <c r="E503" t="s">
        <v>27</v>
      </c>
      <c r="G503" s="36" t="str">
        <f t="shared" si="7"/>
        <v/>
      </c>
      <c r="H503" s="38" t="str">
        <f>_xlfn.XLOOKUP(A503,Foglio1!A:A,Foglio1!G:G,"")</f>
        <v/>
      </c>
    </row>
    <row r="504" spans="1:18" x14ac:dyDescent="0.3">
      <c r="A504" t="s">
        <v>512</v>
      </c>
      <c r="B504" t="s">
        <v>94</v>
      </c>
      <c r="C504">
        <v>22</v>
      </c>
      <c r="D504" t="s">
        <v>20</v>
      </c>
      <c r="E504" t="s">
        <v>20</v>
      </c>
      <c r="G504" s="36" t="str">
        <f t="shared" si="7"/>
        <v/>
      </c>
      <c r="H504" s="38" t="str">
        <f>_xlfn.XLOOKUP(A504,Foglio1!A:A,Foglio1!G:G,"")</f>
        <v/>
      </c>
    </row>
    <row r="505" spans="1:18" x14ac:dyDescent="0.3">
      <c r="A505" t="s">
        <v>482</v>
      </c>
      <c r="B505" t="s">
        <v>94</v>
      </c>
      <c r="C505">
        <v>33</v>
      </c>
      <c r="D505" t="s">
        <v>20</v>
      </c>
      <c r="E505" t="s">
        <v>20</v>
      </c>
      <c r="G505" s="36" t="str">
        <f t="shared" si="7"/>
        <v/>
      </c>
      <c r="H505" s="38" t="str">
        <f>_xlfn.XLOOKUP(A505,Foglio1!A:A,Foglio1!G:G,"")</f>
        <v/>
      </c>
    </row>
    <row r="506" spans="1:18" x14ac:dyDescent="0.3">
      <c r="A506" t="s">
        <v>418</v>
      </c>
      <c r="B506" t="s">
        <v>94</v>
      </c>
      <c r="C506">
        <v>26</v>
      </c>
      <c r="D506" t="s">
        <v>20</v>
      </c>
      <c r="E506" t="s">
        <v>23</v>
      </c>
      <c r="G506" s="36" t="str">
        <f t="shared" si="7"/>
        <v/>
      </c>
      <c r="H506" s="38" t="str">
        <f>_xlfn.XLOOKUP(A506,Foglio1!A:A,Foglio1!G:G,"")</f>
        <v/>
      </c>
    </row>
    <row r="507" spans="1:18" x14ac:dyDescent="0.3">
      <c r="A507" t="s">
        <v>294</v>
      </c>
      <c r="B507" t="s">
        <v>94</v>
      </c>
      <c r="C507">
        <v>29</v>
      </c>
      <c r="D507" t="s">
        <v>20</v>
      </c>
      <c r="E507" t="s">
        <v>23</v>
      </c>
      <c r="G507" s="36" t="str">
        <f t="shared" si="7"/>
        <v/>
      </c>
      <c r="H507" s="38" t="str">
        <f>_xlfn.XLOOKUP(A507,Foglio1!A:A,Foglio1!G:G,"")</f>
        <v/>
      </c>
    </row>
    <row r="508" spans="1:18" x14ac:dyDescent="0.3">
      <c r="A508" t="s">
        <v>303</v>
      </c>
      <c r="B508" t="s">
        <v>94</v>
      </c>
      <c r="C508">
        <v>25</v>
      </c>
      <c r="D508" t="s">
        <v>20</v>
      </c>
      <c r="E508" t="s">
        <v>20</v>
      </c>
      <c r="G508" s="36" t="str">
        <f t="shared" si="7"/>
        <v/>
      </c>
      <c r="H508" s="38" t="str">
        <f>_xlfn.XLOOKUP(A508,Foglio1!A:A,Foglio1!G:G,"")</f>
        <v/>
      </c>
    </row>
    <row r="509" spans="1:18" x14ac:dyDescent="0.3">
      <c r="A509" t="s">
        <v>93</v>
      </c>
      <c r="B509" t="s">
        <v>94</v>
      </c>
      <c r="C509">
        <v>26</v>
      </c>
      <c r="D509" t="s">
        <v>8</v>
      </c>
      <c r="E509" t="s">
        <v>9</v>
      </c>
      <c r="G509" s="36" t="str">
        <f t="shared" si="7"/>
        <v/>
      </c>
      <c r="H509" s="38" t="str">
        <f>_xlfn.XLOOKUP(A509,Foglio1!A:A,Foglio1!G:G,"")</f>
        <v/>
      </c>
    </row>
    <row r="510" spans="1:18" x14ac:dyDescent="0.3">
      <c r="A510" t="s">
        <v>286</v>
      </c>
      <c r="B510" t="s">
        <v>94</v>
      </c>
      <c r="C510">
        <v>26</v>
      </c>
      <c r="D510" t="s">
        <v>8</v>
      </c>
      <c r="E510" t="s">
        <v>9</v>
      </c>
      <c r="G510" s="36" t="str">
        <f t="shared" si="7"/>
        <v/>
      </c>
      <c r="H510" s="38" t="str">
        <f>_xlfn.XLOOKUP(A510,Foglio1!A:A,Foglio1!G:G,"")</f>
        <v/>
      </c>
    </row>
    <row r="511" spans="1:18" x14ac:dyDescent="0.3">
      <c r="A511" t="s">
        <v>504</v>
      </c>
      <c r="B511" t="s">
        <v>94</v>
      </c>
      <c r="C511">
        <v>28</v>
      </c>
      <c r="D511" t="s">
        <v>8</v>
      </c>
      <c r="E511" t="s">
        <v>9</v>
      </c>
      <c r="G511" s="36" t="str">
        <f t="shared" si="7"/>
        <v/>
      </c>
      <c r="H511" s="38" t="str">
        <f>_xlfn.XLOOKUP(A511,Foglio1!A:A,Foglio1!G:G,"")</f>
        <v/>
      </c>
    </row>
    <row r="512" spans="1:18" x14ac:dyDescent="0.3">
      <c r="A512" t="s">
        <v>505</v>
      </c>
      <c r="B512" t="s">
        <v>94</v>
      </c>
      <c r="C512">
        <v>20</v>
      </c>
      <c r="D512" t="s">
        <v>8</v>
      </c>
      <c r="E512" t="s">
        <v>34</v>
      </c>
      <c r="G512" s="36" t="str">
        <f t="shared" si="7"/>
        <v/>
      </c>
      <c r="H512" s="38" t="str">
        <f>_xlfn.XLOOKUP(A512,Foglio1!A:A,Foglio1!G:G,"")</f>
        <v/>
      </c>
    </row>
    <row r="513" spans="1:8" x14ac:dyDescent="0.3">
      <c r="A513" t="s">
        <v>217</v>
      </c>
      <c r="B513" t="s">
        <v>94</v>
      </c>
      <c r="C513">
        <v>26</v>
      </c>
      <c r="D513" t="s">
        <v>8</v>
      </c>
      <c r="E513" t="s">
        <v>9</v>
      </c>
      <c r="G513" s="36" t="str">
        <f t="shared" si="7"/>
        <v/>
      </c>
      <c r="H513" s="38" t="str">
        <f>_xlfn.XLOOKUP(A513,Foglio1!A:A,Foglio1!G:G,"")</f>
        <v/>
      </c>
    </row>
    <row r="514" spans="1:8" x14ac:dyDescent="0.3">
      <c r="A514" t="s">
        <v>164</v>
      </c>
      <c r="B514" t="s">
        <v>94</v>
      </c>
      <c r="C514">
        <v>26</v>
      </c>
      <c r="D514" t="s">
        <v>8</v>
      </c>
      <c r="E514" t="s">
        <v>8</v>
      </c>
      <c r="G514" s="36" t="str">
        <f t="shared" si="7"/>
        <v/>
      </c>
      <c r="H514" s="38" t="str">
        <f>_xlfn.XLOOKUP(A514,Foglio1!A:A,Foglio1!G:G,"")</f>
        <v/>
      </c>
    </row>
  </sheetData>
  <sortState xmlns:xlrd2="http://schemas.microsoft.com/office/spreadsheetml/2017/richdata2" ref="A3:E514">
    <sortCondition ref="B3:B5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BCF0-70F8-486F-A9AA-2763DB0F324D}">
  <dimension ref="A1:G361"/>
  <sheetViews>
    <sheetView workbookViewId="0">
      <selection activeCell="E5" sqref="E5"/>
    </sheetView>
  </sheetViews>
  <sheetFormatPr defaultRowHeight="14.4" x14ac:dyDescent="0.3"/>
  <cols>
    <col min="1" max="1" width="12.44140625" customWidth="1"/>
    <col min="4" max="4" width="19.109375" customWidth="1"/>
    <col min="5" max="5" width="8.88671875" style="2"/>
  </cols>
  <sheetData>
    <row r="1" spans="1:7" x14ac:dyDescent="0.3">
      <c r="E1" s="2" t="s">
        <v>567</v>
      </c>
      <c r="F1" t="s">
        <v>568</v>
      </c>
      <c r="G1" t="s">
        <v>569</v>
      </c>
    </row>
    <row r="3" spans="1:7" x14ac:dyDescent="0.3">
      <c r="A3" t="s">
        <v>277</v>
      </c>
      <c r="B3">
        <v>8</v>
      </c>
      <c r="C3" t="s">
        <v>570</v>
      </c>
    </row>
    <row r="4" spans="1:7" x14ac:dyDescent="0.3">
      <c r="A4" t="s">
        <v>279</v>
      </c>
      <c r="B4">
        <v>5</v>
      </c>
      <c r="C4" t="s">
        <v>570</v>
      </c>
    </row>
    <row r="5" spans="1:7" x14ac:dyDescent="0.3">
      <c r="A5" t="s">
        <v>250</v>
      </c>
      <c r="B5">
        <v>11</v>
      </c>
      <c r="C5" t="s">
        <v>570</v>
      </c>
      <c r="D5" t="s">
        <v>571</v>
      </c>
    </row>
    <row r="6" spans="1:7" x14ac:dyDescent="0.3">
      <c r="A6" s="3" t="s">
        <v>97</v>
      </c>
      <c r="B6">
        <v>18</v>
      </c>
      <c r="C6" t="s">
        <v>570</v>
      </c>
    </row>
    <row r="7" spans="1:7" x14ac:dyDescent="0.3">
      <c r="A7" t="s">
        <v>46</v>
      </c>
      <c r="B7">
        <v>17</v>
      </c>
      <c r="C7" t="s">
        <v>570</v>
      </c>
      <c r="F7">
        <v>3</v>
      </c>
    </row>
    <row r="8" spans="1:7" x14ac:dyDescent="0.3">
      <c r="A8" t="s">
        <v>341</v>
      </c>
      <c r="B8">
        <v>5</v>
      </c>
      <c r="C8" t="s">
        <v>570</v>
      </c>
    </row>
    <row r="9" spans="1:7" x14ac:dyDescent="0.3">
      <c r="A9" s="3" t="s">
        <v>108</v>
      </c>
      <c r="B9">
        <v>18</v>
      </c>
      <c r="C9" t="s">
        <v>570</v>
      </c>
    </row>
    <row r="10" spans="1:7" x14ac:dyDescent="0.3">
      <c r="A10" s="3" t="s">
        <v>198</v>
      </c>
      <c r="B10">
        <v>14.5</v>
      </c>
      <c r="C10" t="s">
        <v>570</v>
      </c>
      <c r="F10">
        <v>1</v>
      </c>
    </row>
    <row r="11" spans="1:7" x14ac:dyDescent="0.3">
      <c r="A11" t="s">
        <v>278</v>
      </c>
      <c r="B11">
        <v>2.5</v>
      </c>
      <c r="C11" t="s">
        <v>570</v>
      </c>
      <c r="D11" s="4" t="s">
        <v>572</v>
      </c>
    </row>
    <row r="12" spans="1:7" x14ac:dyDescent="0.3">
      <c r="A12" t="s">
        <v>364</v>
      </c>
      <c r="B12">
        <v>1.5</v>
      </c>
      <c r="C12" t="s">
        <v>570</v>
      </c>
    </row>
    <row r="13" spans="1:7" x14ac:dyDescent="0.3">
      <c r="A13" t="s">
        <v>433</v>
      </c>
      <c r="B13">
        <v>1</v>
      </c>
      <c r="C13" t="s">
        <v>570</v>
      </c>
    </row>
    <row r="14" spans="1:7" x14ac:dyDescent="0.3">
      <c r="A14" t="s">
        <v>233</v>
      </c>
      <c r="B14">
        <v>16</v>
      </c>
      <c r="C14" t="s">
        <v>570</v>
      </c>
      <c r="D14" t="s">
        <v>573</v>
      </c>
    </row>
    <row r="15" spans="1:7" x14ac:dyDescent="0.3">
      <c r="A15" t="s">
        <v>52</v>
      </c>
      <c r="B15">
        <v>4</v>
      </c>
      <c r="C15" t="s">
        <v>570</v>
      </c>
      <c r="E15" s="2">
        <v>2</v>
      </c>
    </row>
    <row r="16" spans="1:7" x14ac:dyDescent="0.3">
      <c r="A16" t="s">
        <v>152</v>
      </c>
      <c r="B16">
        <v>7</v>
      </c>
      <c r="C16" t="s">
        <v>570</v>
      </c>
    </row>
    <row r="17" spans="1:6" x14ac:dyDescent="0.3">
      <c r="A17" t="s">
        <v>77</v>
      </c>
      <c r="B17">
        <v>15</v>
      </c>
      <c r="C17" t="s">
        <v>570</v>
      </c>
    </row>
    <row r="18" spans="1:6" x14ac:dyDescent="0.3">
      <c r="A18" t="s">
        <v>123</v>
      </c>
      <c r="B18">
        <v>13</v>
      </c>
      <c r="C18" t="s">
        <v>570</v>
      </c>
      <c r="D18" t="s">
        <v>574</v>
      </c>
      <c r="E18" s="2">
        <v>1</v>
      </c>
      <c r="F18">
        <v>2</v>
      </c>
    </row>
    <row r="19" spans="1:6" x14ac:dyDescent="0.3">
      <c r="A19" t="s">
        <v>172</v>
      </c>
      <c r="B19">
        <v>16.5</v>
      </c>
      <c r="C19" t="s">
        <v>570</v>
      </c>
    </row>
    <row r="20" spans="1:6" x14ac:dyDescent="0.3">
      <c r="A20" t="s">
        <v>38</v>
      </c>
      <c r="B20">
        <v>14.5</v>
      </c>
      <c r="C20" t="s">
        <v>570</v>
      </c>
      <c r="D20" t="s">
        <v>575</v>
      </c>
      <c r="E20" s="2">
        <v>3</v>
      </c>
    </row>
    <row r="21" spans="1:6" x14ac:dyDescent="0.3">
      <c r="A21" t="s">
        <v>210</v>
      </c>
      <c r="B21">
        <v>1</v>
      </c>
      <c r="C21" t="s">
        <v>570</v>
      </c>
    </row>
    <row r="22" spans="1:6" x14ac:dyDescent="0.3">
      <c r="A22" t="s">
        <v>204</v>
      </c>
      <c r="B22">
        <v>14</v>
      </c>
      <c r="C22" t="s">
        <v>570</v>
      </c>
      <c r="D22" t="s">
        <v>576</v>
      </c>
    </row>
    <row r="23" spans="1:6" x14ac:dyDescent="0.3">
      <c r="A23" t="s">
        <v>323</v>
      </c>
      <c r="B23">
        <v>3.5</v>
      </c>
      <c r="C23" t="s">
        <v>577</v>
      </c>
    </row>
    <row r="24" spans="1:6" x14ac:dyDescent="0.3">
      <c r="A24" t="s">
        <v>212</v>
      </c>
      <c r="B24">
        <v>16</v>
      </c>
      <c r="C24" t="s">
        <v>577</v>
      </c>
      <c r="D24" t="s">
        <v>578</v>
      </c>
      <c r="E24" s="2">
        <v>2</v>
      </c>
      <c r="F24">
        <v>2</v>
      </c>
    </row>
    <row r="25" spans="1:6" x14ac:dyDescent="0.3">
      <c r="A25" t="s">
        <v>186</v>
      </c>
      <c r="B25">
        <v>1</v>
      </c>
      <c r="C25" t="s">
        <v>577</v>
      </c>
    </row>
    <row r="26" spans="1:6" x14ac:dyDescent="0.3">
      <c r="A26" t="s">
        <v>460</v>
      </c>
      <c r="B26">
        <v>1</v>
      </c>
      <c r="C26" t="s">
        <v>577</v>
      </c>
    </row>
    <row r="27" spans="1:6" x14ac:dyDescent="0.3">
      <c r="A27" t="s">
        <v>67</v>
      </c>
      <c r="B27">
        <v>13.5</v>
      </c>
      <c r="C27" t="s">
        <v>577</v>
      </c>
      <c r="D27" t="s">
        <v>579</v>
      </c>
      <c r="E27" s="2">
        <v>1</v>
      </c>
    </row>
    <row r="28" spans="1:6" x14ac:dyDescent="0.3">
      <c r="A28" t="s">
        <v>246</v>
      </c>
      <c r="B28">
        <v>16</v>
      </c>
      <c r="C28" t="s">
        <v>577</v>
      </c>
    </row>
    <row r="29" spans="1:6" x14ac:dyDescent="0.3">
      <c r="A29" t="s">
        <v>275</v>
      </c>
      <c r="B29">
        <v>18</v>
      </c>
      <c r="C29" t="s">
        <v>577</v>
      </c>
    </row>
    <row r="30" spans="1:6" x14ac:dyDescent="0.3">
      <c r="A30" t="s">
        <v>455</v>
      </c>
      <c r="B30">
        <v>4</v>
      </c>
      <c r="C30" t="s">
        <v>577</v>
      </c>
    </row>
    <row r="31" spans="1:6" x14ac:dyDescent="0.3">
      <c r="A31" t="s">
        <v>316</v>
      </c>
      <c r="B31">
        <v>3</v>
      </c>
      <c r="C31" t="s">
        <v>577</v>
      </c>
    </row>
    <row r="32" spans="1:6" x14ac:dyDescent="0.3">
      <c r="A32" t="s">
        <v>202</v>
      </c>
      <c r="B32">
        <v>18</v>
      </c>
      <c r="C32" t="s">
        <v>577</v>
      </c>
      <c r="F32">
        <v>1</v>
      </c>
    </row>
    <row r="33" spans="1:6" x14ac:dyDescent="0.3">
      <c r="A33" t="s">
        <v>508</v>
      </c>
      <c r="B33">
        <v>13.5</v>
      </c>
      <c r="C33" t="s">
        <v>577</v>
      </c>
    </row>
    <row r="34" spans="1:6" x14ac:dyDescent="0.3">
      <c r="A34" t="s">
        <v>211</v>
      </c>
      <c r="B34">
        <v>3</v>
      </c>
      <c r="C34" t="s">
        <v>577</v>
      </c>
    </row>
    <row r="35" spans="1:6" x14ac:dyDescent="0.3">
      <c r="A35" t="s">
        <v>32</v>
      </c>
      <c r="B35">
        <v>19</v>
      </c>
      <c r="C35" t="s">
        <v>577</v>
      </c>
      <c r="E35" s="2">
        <v>3</v>
      </c>
      <c r="F35">
        <v>3</v>
      </c>
    </row>
    <row r="36" spans="1:6" x14ac:dyDescent="0.3">
      <c r="A36" t="s">
        <v>150</v>
      </c>
      <c r="B36">
        <v>7</v>
      </c>
      <c r="C36" t="s">
        <v>577</v>
      </c>
    </row>
    <row r="37" spans="1:6" x14ac:dyDescent="0.3">
      <c r="A37" t="s">
        <v>305</v>
      </c>
      <c r="B37">
        <v>4.5</v>
      </c>
      <c r="C37" t="s">
        <v>577</v>
      </c>
    </row>
    <row r="38" spans="1:6" x14ac:dyDescent="0.3">
      <c r="A38" s="3" t="s">
        <v>133</v>
      </c>
      <c r="B38">
        <v>15</v>
      </c>
      <c r="C38" t="s">
        <v>577</v>
      </c>
      <c r="D38" t="s">
        <v>580</v>
      </c>
    </row>
    <row r="39" spans="1:6" x14ac:dyDescent="0.3">
      <c r="A39" t="s">
        <v>139</v>
      </c>
      <c r="B39">
        <v>18</v>
      </c>
      <c r="C39" t="s">
        <v>577</v>
      </c>
    </row>
    <row r="40" spans="1:6" x14ac:dyDescent="0.3">
      <c r="A40" t="s">
        <v>348</v>
      </c>
      <c r="B40">
        <v>14</v>
      </c>
      <c r="C40" t="s">
        <v>577</v>
      </c>
      <c r="D40" t="s">
        <v>581</v>
      </c>
    </row>
    <row r="41" spans="1:6" x14ac:dyDescent="0.3">
      <c r="A41" t="s">
        <v>235</v>
      </c>
      <c r="B41">
        <v>16</v>
      </c>
      <c r="C41" t="s">
        <v>577</v>
      </c>
    </row>
    <row r="42" spans="1:6" x14ac:dyDescent="0.3">
      <c r="A42" t="s">
        <v>306</v>
      </c>
      <c r="B42">
        <v>17</v>
      </c>
      <c r="C42" t="s">
        <v>582</v>
      </c>
    </row>
    <row r="43" spans="1:6" x14ac:dyDescent="0.3">
      <c r="A43" t="s">
        <v>375</v>
      </c>
      <c r="B43">
        <v>5</v>
      </c>
      <c r="C43" t="s">
        <v>582</v>
      </c>
    </row>
    <row r="44" spans="1:6" x14ac:dyDescent="0.3">
      <c r="A44" t="s">
        <v>176</v>
      </c>
      <c r="B44">
        <v>18</v>
      </c>
      <c r="C44" t="s">
        <v>582</v>
      </c>
    </row>
    <row r="45" spans="1:6" x14ac:dyDescent="0.3">
      <c r="A45" t="s">
        <v>421</v>
      </c>
      <c r="B45">
        <v>5</v>
      </c>
      <c r="C45" t="s">
        <v>582</v>
      </c>
    </row>
    <row r="46" spans="1:6" x14ac:dyDescent="0.3">
      <c r="A46" t="s">
        <v>224</v>
      </c>
      <c r="B46">
        <v>17</v>
      </c>
      <c r="C46" t="s">
        <v>582</v>
      </c>
      <c r="F46">
        <v>3</v>
      </c>
    </row>
    <row r="47" spans="1:6" x14ac:dyDescent="0.3">
      <c r="A47" t="s">
        <v>379</v>
      </c>
      <c r="B47">
        <v>1</v>
      </c>
      <c r="C47" t="s">
        <v>582</v>
      </c>
    </row>
    <row r="48" spans="1:6" x14ac:dyDescent="0.3">
      <c r="A48" t="s">
        <v>103</v>
      </c>
      <c r="B48">
        <v>11</v>
      </c>
      <c r="C48" t="s">
        <v>582</v>
      </c>
      <c r="E48" s="2">
        <v>3</v>
      </c>
    </row>
    <row r="49" spans="1:6" x14ac:dyDescent="0.3">
      <c r="A49" t="s">
        <v>343</v>
      </c>
      <c r="B49">
        <v>1</v>
      </c>
      <c r="C49" t="s">
        <v>582</v>
      </c>
    </row>
    <row r="50" spans="1:6" x14ac:dyDescent="0.3">
      <c r="A50" t="s">
        <v>208</v>
      </c>
      <c r="B50">
        <v>18</v>
      </c>
      <c r="C50" t="s">
        <v>582</v>
      </c>
      <c r="D50" t="s">
        <v>583</v>
      </c>
      <c r="E50" s="2">
        <v>2</v>
      </c>
      <c r="F50">
        <v>2</v>
      </c>
    </row>
    <row r="51" spans="1:6" x14ac:dyDescent="0.3">
      <c r="A51" t="s">
        <v>369</v>
      </c>
      <c r="B51">
        <v>5</v>
      </c>
      <c r="C51" t="s">
        <v>582</v>
      </c>
    </row>
    <row r="52" spans="1:6" x14ac:dyDescent="0.3">
      <c r="A52" t="s">
        <v>236</v>
      </c>
      <c r="B52">
        <v>17</v>
      </c>
      <c r="C52" t="s">
        <v>582</v>
      </c>
      <c r="E52" s="2">
        <v>1</v>
      </c>
    </row>
    <row r="53" spans="1:6" x14ac:dyDescent="0.3">
      <c r="A53" t="s">
        <v>315</v>
      </c>
      <c r="B53">
        <v>18</v>
      </c>
      <c r="C53" t="s">
        <v>582</v>
      </c>
    </row>
    <row r="54" spans="1:6" x14ac:dyDescent="0.3">
      <c r="A54" t="s">
        <v>414</v>
      </c>
      <c r="B54">
        <v>1</v>
      </c>
      <c r="C54" t="s">
        <v>582</v>
      </c>
    </row>
    <row r="55" spans="1:6" x14ac:dyDescent="0.3">
      <c r="A55" t="s">
        <v>390</v>
      </c>
      <c r="B55">
        <v>16</v>
      </c>
      <c r="C55" t="s">
        <v>582</v>
      </c>
      <c r="D55" t="s">
        <v>584</v>
      </c>
    </row>
    <row r="56" spans="1:6" x14ac:dyDescent="0.3">
      <c r="A56" t="s">
        <v>328</v>
      </c>
      <c r="B56">
        <v>16</v>
      </c>
      <c r="C56" t="s">
        <v>582</v>
      </c>
      <c r="D56" t="s">
        <v>585</v>
      </c>
    </row>
    <row r="57" spans="1:6" x14ac:dyDescent="0.3">
      <c r="A57" t="s">
        <v>307</v>
      </c>
      <c r="B57">
        <v>17</v>
      </c>
      <c r="C57" t="s">
        <v>582</v>
      </c>
      <c r="F57">
        <v>1</v>
      </c>
    </row>
    <row r="58" spans="1:6" x14ac:dyDescent="0.3">
      <c r="A58" t="s">
        <v>405</v>
      </c>
      <c r="B58">
        <v>8</v>
      </c>
      <c r="C58" t="s">
        <v>582</v>
      </c>
    </row>
    <row r="59" spans="1:6" x14ac:dyDescent="0.3">
      <c r="A59" t="s">
        <v>345</v>
      </c>
      <c r="B59">
        <v>15</v>
      </c>
      <c r="C59" t="s">
        <v>582</v>
      </c>
      <c r="D59" t="s">
        <v>586</v>
      </c>
    </row>
    <row r="60" spans="1:6" x14ac:dyDescent="0.3">
      <c r="A60" s="3" t="s">
        <v>49</v>
      </c>
      <c r="B60">
        <v>16</v>
      </c>
      <c r="C60" t="s">
        <v>587</v>
      </c>
      <c r="D60" t="s">
        <v>588</v>
      </c>
      <c r="F60">
        <v>2</v>
      </c>
    </row>
    <row r="61" spans="1:6" x14ac:dyDescent="0.3">
      <c r="A61" s="3" t="s">
        <v>89</v>
      </c>
      <c r="B61">
        <v>18</v>
      </c>
      <c r="C61" t="s">
        <v>587</v>
      </c>
    </row>
    <row r="62" spans="1:6" x14ac:dyDescent="0.3">
      <c r="A62" t="s">
        <v>227</v>
      </c>
      <c r="B62">
        <v>2</v>
      </c>
      <c r="C62" t="s">
        <v>587</v>
      </c>
    </row>
    <row r="63" spans="1:6" x14ac:dyDescent="0.3">
      <c r="A63" s="3" t="s">
        <v>189</v>
      </c>
      <c r="B63">
        <v>16.5</v>
      </c>
      <c r="C63" t="s">
        <v>587</v>
      </c>
      <c r="D63" t="s">
        <v>589</v>
      </c>
    </row>
    <row r="64" spans="1:6" x14ac:dyDescent="0.3">
      <c r="A64" s="3" t="s">
        <v>169</v>
      </c>
      <c r="B64">
        <v>17</v>
      </c>
      <c r="C64" t="s">
        <v>587</v>
      </c>
      <c r="D64" t="s">
        <v>590</v>
      </c>
    </row>
    <row r="65" spans="1:6" x14ac:dyDescent="0.3">
      <c r="A65" s="3" t="s">
        <v>56</v>
      </c>
      <c r="B65">
        <v>17</v>
      </c>
      <c r="C65" t="s">
        <v>587</v>
      </c>
      <c r="E65" s="2">
        <v>3</v>
      </c>
      <c r="F65">
        <v>1</v>
      </c>
    </row>
    <row r="66" spans="1:6" x14ac:dyDescent="0.3">
      <c r="A66" t="s">
        <v>98</v>
      </c>
      <c r="B66">
        <v>15</v>
      </c>
      <c r="C66" t="s">
        <v>587</v>
      </c>
      <c r="D66" t="s">
        <v>591</v>
      </c>
    </row>
    <row r="67" spans="1:6" x14ac:dyDescent="0.3">
      <c r="A67" s="3" t="s">
        <v>37</v>
      </c>
      <c r="B67">
        <v>18</v>
      </c>
      <c r="C67" t="s">
        <v>587</v>
      </c>
      <c r="E67" s="2">
        <v>2</v>
      </c>
    </row>
    <row r="68" spans="1:6" x14ac:dyDescent="0.3">
      <c r="A68" s="3" t="s">
        <v>199</v>
      </c>
      <c r="B68">
        <v>12</v>
      </c>
      <c r="C68" t="s">
        <v>587</v>
      </c>
      <c r="D68" t="s">
        <v>592</v>
      </c>
    </row>
    <row r="69" spans="1:6" x14ac:dyDescent="0.3">
      <c r="A69" t="s">
        <v>310</v>
      </c>
      <c r="B69">
        <v>5</v>
      </c>
      <c r="C69" t="s">
        <v>587</v>
      </c>
    </row>
    <row r="70" spans="1:6" x14ac:dyDescent="0.3">
      <c r="A70" t="s">
        <v>209</v>
      </c>
      <c r="B70">
        <v>1</v>
      </c>
      <c r="C70" t="s">
        <v>587</v>
      </c>
    </row>
    <row r="71" spans="1:6" x14ac:dyDescent="0.3">
      <c r="A71" t="s">
        <v>290</v>
      </c>
      <c r="B71">
        <v>3</v>
      </c>
      <c r="C71" t="s">
        <v>587</v>
      </c>
    </row>
    <row r="72" spans="1:6" x14ac:dyDescent="0.3">
      <c r="A72" s="3" t="s">
        <v>18</v>
      </c>
      <c r="B72">
        <v>19</v>
      </c>
      <c r="C72" t="s">
        <v>587</v>
      </c>
      <c r="E72" s="2">
        <v>1</v>
      </c>
      <c r="F72">
        <v>3</v>
      </c>
    </row>
    <row r="73" spans="1:6" x14ac:dyDescent="0.3">
      <c r="A73" s="3" t="s">
        <v>136</v>
      </c>
      <c r="B73">
        <v>17</v>
      </c>
      <c r="C73" t="s">
        <v>587</v>
      </c>
    </row>
    <row r="74" spans="1:6" x14ac:dyDescent="0.3">
      <c r="A74" s="3" t="s">
        <v>154</v>
      </c>
      <c r="B74">
        <v>17.5</v>
      </c>
      <c r="C74" t="s">
        <v>587</v>
      </c>
    </row>
    <row r="75" spans="1:6" x14ac:dyDescent="0.3">
      <c r="A75" t="s">
        <v>151</v>
      </c>
      <c r="B75">
        <v>5</v>
      </c>
      <c r="C75" t="s">
        <v>587</v>
      </c>
    </row>
    <row r="76" spans="1:6" x14ac:dyDescent="0.3">
      <c r="A76" t="s">
        <v>393</v>
      </c>
      <c r="B76">
        <v>2</v>
      </c>
      <c r="C76" s="1" t="s">
        <v>587</v>
      </c>
    </row>
    <row r="77" spans="1:6" x14ac:dyDescent="0.3">
      <c r="A77" s="3" t="s">
        <v>252</v>
      </c>
      <c r="B77">
        <v>8</v>
      </c>
      <c r="C77" t="s">
        <v>587</v>
      </c>
    </row>
    <row r="78" spans="1:6" x14ac:dyDescent="0.3">
      <c r="A78" s="3" t="s">
        <v>58</v>
      </c>
      <c r="B78" s="5">
        <v>18</v>
      </c>
      <c r="C78" t="s">
        <v>593</v>
      </c>
      <c r="F78">
        <v>1</v>
      </c>
    </row>
    <row r="79" spans="1:6" x14ac:dyDescent="0.3">
      <c r="A79" s="3" t="s">
        <v>112</v>
      </c>
      <c r="B79">
        <v>18</v>
      </c>
      <c r="C79" t="s">
        <v>593</v>
      </c>
    </row>
    <row r="80" spans="1:6" x14ac:dyDescent="0.3">
      <c r="A80" t="s">
        <v>161</v>
      </c>
      <c r="B80">
        <v>6</v>
      </c>
      <c r="C80" t="s">
        <v>593</v>
      </c>
    </row>
    <row r="81" spans="1:6" x14ac:dyDescent="0.3">
      <c r="A81" t="s">
        <v>175</v>
      </c>
      <c r="B81">
        <v>18</v>
      </c>
      <c r="C81" t="s">
        <v>593</v>
      </c>
    </row>
    <row r="82" spans="1:6" x14ac:dyDescent="0.3">
      <c r="A82" t="s">
        <v>197</v>
      </c>
      <c r="B82">
        <v>13</v>
      </c>
      <c r="C82" t="s">
        <v>593</v>
      </c>
      <c r="D82" t="s">
        <v>594</v>
      </c>
    </row>
    <row r="83" spans="1:6" x14ac:dyDescent="0.3">
      <c r="A83" s="3" t="s">
        <v>78</v>
      </c>
      <c r="B83">
        <v>7</v>
      </c>
      <c r="C83" t="s">
        <v>593</v>
      </c>
      <c r="E83" s="2">
        <v>3</v>
      </c>
      <c r="F83">
        <v>3</v>
      </c>
    </row>
    <row r="84" spans="1:6" x14ac:dyDescent="0.3">
      <c r="A84" t="s">
        <v>200</v>
      </c>
      <c r="B84">
        <v>9</v>
      </c>
      <c r="C84" t="s">
        <v>593</v>
      </c>
      <c r="D84" t="s">
        <v>595</v>
      </c>
    </row>
    <row r="85" spans="1:6" x14ac:dyDescent="0.3">
      <c r="A85" t="s">
        <v>426</v>
      </c>
      <c r="B85">
        <v>5</v>
      </c>
      <c r="C85" t="s">
        <v>593</v>
      </c>
    </row>
    <row r="86" spans="1:6" x14ac:dyDescent="0.3">
      <c r="A86" t="s">
        <v>30</v>
      </c>
      <c r="B86">
        <v>16</v>
      </c>
      <c r="C86" t="s">
        <v>593</v>
      </c>
      <c r="E86" s="2">
        <v>2</v>
      </c>
    </row>
    <row r="87" spans="1:6" x14ac:dyDescent="0.3">
      <c r="A87" t="s">
        <v>167</v>
      </c>
      <c r="B87">
        <v>8</v>
      </c>
      <c r="C87" t="s">
        <v>593</v>
      </c>
      <c r="E87" s="2">
        <v>1</v>
      </c>
    </row>
    <row r="88" spans="1:6" x14ac:dyDescent="0.3">
      <c r="A88" s="3" t="s">
        <v>82</v>
      </c>
      <c r="B88">
        <v>17</v>
      </c>
      <c r="C88" t="s">
        <v>593</v>
      </c>
      <c r="F88">
        <v>2</v>
      </c>
    </row>
    <row r="89" spans="1:6" x14ac:dyDescent="0.3">
      <c r="A89" t="s">
        <v>184</v>
      </c>
      <c r="B89">
        <v>16</v>
      </c>
      <c r="C89" t="s">
        <v>593</v>
      </c>
      <c r="D89" t="s">
        <v>596</v>
      </c>
    </row>
    <row r="90" spans="1:6" x14ac:dyDescent="0.3">
      <c r="A90" t="s">
        <v>220</v>
      </c>
      <c r="B90">
        <v>14</v>
      </c>
      <c r="C90" t="s">
        <v>593</v>
      </c>
    </row>
    <row r="91" spans="1:6" x14ac:dyDescent="0.3">
      <c r="A91" t="s">
        <v>79</v>
      </c>
      <c r="B91">
        <v>2</v>
      </c>
      <c r="C91" t="s">
        <v>593</v>
      </c>
    </row>
    <row r="92" spans="1:6" x14ac:dyDescent="0.3">
      <c r="A92" t="s">
        <v>432</v>
      </c>
      <c r="B92">
        <v>1</v>
      </c>
      <c r="C92" t="s">
        <v>593</v>
      </c>
    </row>
    <row r="93" spans="1:6" x14ac:dyDescent="0.3">
      <c r="A93" t="s">
        <v>434</v>
      </c>
      <c r="B93">
        <v>5</v>
      </c>
      <c r="C93" t="s">
        <v>593</v>
      </c>
    </row>
    <row r="94" spans="1:6" x14ac:dyDescent="0.3">
      <c r="A94" s="3" t="s">
        <v>249</v>
      </c>
      <c r="B94">
        <v>17</v>
      </c>
      <c r="C94" t="s">
        <v>593</v>
      </c>
    </row>
    <row r="95" spans="1:6" x14ac:dyDescent="0.3">
      <c r="A95" t="s">
        <v>231</v>
      </c>
      <c r="B95">
        <v>14</v>
      </c>
      <c r="C95" t="s">
        <v>593</v>
      </c>
      <c r="D95" t="s">
        <v>597</v>
      </c>
    </row>
    <row r="96" spans="1:6" x14ac:dyDescent="0.3">
      <c r="A96" t="s">
        <v>422</v>
      </c>
      <c r="B96">
        <v>11</v>
      </c>
      <c r="C96" t="s">
        <v>598</v>
      </c>
    </row>
    <row r="97" spans="1:6" x14ac:dyDescent="0.3">
      <c r="A97" t="s">
        <v>526</v>
      </c>
      <c r="B97">
        <v>1</v>
      </c>
      <c r="C97" t="s">
        <v>598</v>
      </c>
    </row>
    <row r="98" spans="1:6" x14ac:dyDescent="0.3">
      <c r="A98" t="s">
        <v>344</v>
      </c>
      <c r="B98">
        <v>10</v>
      </c>
      <c r="C98" t="s">
        <v>598</v>
      </c>
      <c r="D98" t="s">
        <v>599</v>
      </c>
    </row>
    <row r="99" spans="1:6" x14ac:dyDescent="0.3">
      <c r="A99" t="s">
        <v>181</v>
      </c>
      <c r="B99">
        <v>11.5</v>
      </c>
      <c r="C99" t="s">
        <v>598</v>
      </c>
      <c r="E99" s="2">
        <v>3</v>
      </c>
      <c r="F99">
        <v>3</v>
      </c>
    </row>
    <row r="100" spans="1:6" x14ac:dyDescent="0.3">
      <c r="A100" t="s">
        <v>389</v>
      </c>
      <c r="B100">
        <v>4</v>
      </c>
      <c r="C100" t="s">
        <v>598</v>
      </c>
      <c r="D100" t="s">
        <v>600</v>
      </c>
    </row>
    <row r="101" spans="1:6" x14ac:dyDescent="0.3">
      <c r="A101" t="s">
        <v>325</v>
      </c>
      <c r="B101">
        <v>4</v>
      </c>
      <c r="C101" t="s">
        <v>598</v>
      </c>
    </row>
    <row r="102" spans="1:6" x14ac:dyDescent="0.3">
      <c r="A102" t="s">
        <v>431</v>
      </c>
      <c r="B102">
        <v>3</v>
      </c>
      <c r="C102" t="s">
        <v>598</v>
      </c>
    </row>
    <row r="103" spans="1:6" x14ac:dyDescent="0.3">
      <c r="A103" t="s">
        <v>436</v>
      </c>
      <c r="B103">
        <v>2</v>
      </c>
      <c r="C103" t="s">
        <v>598</v>
      </c>
    </row>
    <row r="104" spans="1:6" x14ac:dyDescent="0.3">
      <c r="A104" t="s">
        <v>471</v>
      </c>
      <c r="B104">
        <v>0.5</v>
      </c>
      <c r="C104" t="s">
        <v>598</v>
      </c>
    </row>
    <row r="105" spans="1:6" x14ac:dyDescent="0.3">
      <c r="A105" t="s">
        <v>380</v>
      </c>
      <c r="B105">
        <v>1</v>
      </c>
      <c r="C105" t="s">
        <v>598</v>
      </c>
    </row>
    <row r="106" spans="1:6" x14ac:dyDescent="0.3">
      <c r="A106" t="s">
        <v>156</v>
      </c>
      <c r="B106">
        <v>13</v>
      </c>
      <c r="C106" t="s">
        <v>598</v>
      </c>
      <c r="F106">
        <v>1</v>
      </c>
    </row>
    <row r="107" spans="1:6" x14ac:dyDescent="0.3">
      <c r="A107" t="s">
        <v>288</v>
      </c>
      <c r="B107">
        <v>12.5</v>
      </c>
      <c r="C107" t="s">
        <v>598</v>
      </c>
      <c r="E107" s="2">
        <v>1</v>
      </c>
    </row>
    <row r="108" spans="1:6" x14ac:dyDescent="0.3">
      <c r="A108" t="s">
        <v>445</v>
      </c>
      <c r="B108">
        <v>3</v>
      </c>
      <c r="C108" t="s">
        <v>598</v>
      </c>
    </row>
    <row r="109" spans="1:6" x14ac:dyDescent="0.3">
      <c r="A109" t="s">
        <v>324</v>
      </c>
      <c r="B109">
        <v>2.5</v>
      </c>
      <c r="C109" t="s">
        <v>598</v>
      </c>
    </row>
    <row r="110" spans="1:6" x14ac:dyDescent="0.3">
      <c r="A110" t="s">
        <v>261</v>
      </c>
      <c r="B110">
        <v>12</v>
      </c>
      <c r="C110" t="s">
        <v>598</v>
      </c>
    </row>
    <row r="111" spans="1:6" x14ac:dyDescent="0.3">
      <c r="A111" t="s">
        <v>475</v>
      </c>
      <c r="B111">
        <v>8</v>
      </c>
      <c r="C111" t="s">
        <v>598</v>
      </c>
      <c r="D111" t="s">
        <v>601</v>
      </c>
    </row>
    <row r="112" spans="1:6" x14ac:dyDescent="0.3">
      <c r="A112" s="3" t="s">
        <v>317</v>
      </c>
      <c r="B112">
        <v>17</v>
      </c>
      <c r="C112" t="s">
        <v>598</v>
      </c>
    </row>
    <row r="113" spans="1:6" x14ac:dyDescent="0.3">
      <c r="A113" t="s">
        <v>355</v>
      </c>
      <c r="B113">
        <v>15</v>
      </c>
      <c r="C113" t="s">
        <v>598</v>
      </c>
    </row>
    <row r="114" spans="1:6" x14ac:dyDescent="0.3">
      <c r="A114" t="s">
        <v>437</v>
      </c>
      <c r="B114">
        <v>16</v>
      </c>
      <c r="C114" t="s">
        <v>598</v>
      </c>
    </row>
    <row r="115" spans="1:6" x14ac:dyDescent="0.3">
      <c r="A115" t="s">
        <v>193</v>
      </c>
      <c r="B115">
        <v>18</v>
      </c>
      <c r="C115" t="s">
        <v>598</v>
      </c>
    </row>
    <row r="116" spans="1:6" x14ac:dyDescent="0.3">
      <c r="A116" t="s">
        <v>158</v>
      </c>
      <c r="B116">
        <v>16</v>
      </c>
      <c r="C116" t="s">
        <v>598</v>
      </c>
      <c r="E116" s="2">
        <v>2</v>
      </c>
      <c r="F116">
        <v>2</v>
      </c>
    </row>
    <row r="117" spans="1:6" x14ac:dyDescent="0.3">
      <c r="A117" t="s">
        <v>363</v>
      </c>
      <c r="B117">
        <v>10</v>
      </c>
      <c r="C117" t="s">
        <v>598</v>
      </c>
    </row>
    <row r="118" spans="1:6" x14ac:dyDescent="0.3">
      <c r="A118" t="s">
        <v>298</v>
      </c>
      <c r="B118">
        <v>8</v>
      </c>
      <c r="C118" t="s">
        <v>598</v>
      </c>
    </row>
    <row r="119" spans="1:6" x14ac:dyDescent="0.3">
      <c r="A119" t="s">
        <v>326</v>
      </c>
      <c r="B119">
        <v>4.5</v>
      </c>
      <c r="C119" t="s">
        <v>602</v>
      </c>
    </row>
    <row r="120" spans="1:6" x14ac:dyDescent="0.3">
      <c r="A120" t="s">
        <v>159</v>
      </c>
      <c r="B120">
        <v>13</v>
      </c>
      <c r="C120" t="s">
        <v>602</v>
      </c>
      <c r="D120" t="s">
        <v>603</v>
      </c>
      <c r="F120">
        <v>3</v>
      </c>
    </row>
    <row r="121" spans="1:6" x14ac:dyDescent="0.3">
      <c r="A121" s="3" t="s">
        <v>259</v>
      </c>
      <c r="B121">
        <v>18</v>
      </c>
      <c r="C121" t="s">
        <v>602</v>
      </c>
    </row>
    <row r="122" spans="1:6" x14ac:dyDescent="0.3">
      <c r="A122" t="s">
        <v>73</v>
      </c>
      <c r="B122">
        <v>18</v>
      </c>
      <c r="C122" t="s">
        <v>602</v>
      </c>
      <c r="E122" s="2">
        <v>3</v>
      </c>
    </row>
    <row r="123" spans="1:6" x14ac:dyDescent="0.3">
      <c r="A123" t="s">
        <v>245</v>
      </c>
      <c r="B123">
        <v>7.5</v>
      </c>
      <c r="C123" t="s">
        <v>602</v>
      </c>
      <c r="D123" t="s">
        <v>604</v>
      </c>
    </row>
    <row r="124" spans="1:6" x14ac:dyDescent="0.3">
      <c r="A124" s="3" t="s">
        <v>225</v>
      </c>
      <c r="B124">
        <v>18</v>
      </c>
      <c r="C124" t="s">
        <v>602</v>
      </c>
    </row>
    <row r="125" spans="1:6" x14ac:dyDescent="0.3">
      <c r="A125" s="3" t="s">
        <v>311</v>
      </c>
      <c r="B125">
        <v>18</v>
      </c>
      <c r="C125" t="s">
        <v>602</v>
      </c>
    </row>
    <row r="126" spans="1:6" x14ac:dyDescent="0.3">
      <c r="A126" t="s">
        <v>282</v>
      </c>
      <c r="B126">
        <v>1.5</v>
      </c>
      <c r="C126" t="s">
        <v>602</v>
      </c>
      <c r="F126">
        <v>2</v>
      </c>
    </row>
    <row r="127" spans="1:6" x14ac:dyDescent="0.3">
      <c r="A127" t="s">
        <v>291</v>
      </c>
      <c r="B127">
        <v>3</v>
      </c>
      <c r="C127" t="s">
        <v>602</v>
      </c>
    </row>
    <row r="128" spans="1:6" x14ac:dyDescent="0.3">
      <c r="A128" t="s">
        <v>419</v>
      </c>
      <c r="B128">
        <v>1</v>
      </c>
      <c r="C128" t="s">
        <v>602</v>
      </c>
    </row>
    <row r="129" spans="1:6" x14ac:dyDescent="0.3">
      <c r="A129" t="s">
        <v>387</v>
      </c>
      <c r="B129">
        <v>12.5</v>
      </c>
      <c r="C129" t="s">
        <v>602</v>
      </c>
    </row>
    <row r="130" spans="1:6" x14ac:dyDescent="0.3">
      <c r="A130" s="3" t="s">
        <v>213</v>
      </c>
      <c r="B130">
        <v>18</v>
      </c>
      <c r="C130" t="s">
        <v>602</v>
      </c>
    </row>
    <row r="131" spans="1:6" x14ac:dyDescent="0.3">
      <c r="A131" s="3" t="s">
        <v>129</v>
      </c>
      <c r="B131">
        <v>18</v>
      </c>
      <c r="C131" t="s">
        <v>602</v>
      </c>
      <c r="E131" s="2">
        <v>2</v>
      </c>
    </row>
    <row r="132" spans="1:6" x14ac:dyDescent="0.3">
      <c r="A132" t="s">
        <v>423</v>
      </c>
      <c r="B132">
        <v>0.5</v>
      </c>
      <c r="C132" t="s">
        <v>602</v>
      </c>
    </row>
    <row r="133" spans="1:6" x14ac:dyDescent="0.3">
      <c r="A133" s="3" t="s">
        <v>299</v>
      </c>
      <c r="B133">
        <v>13.5</v>
      </c>
      <c r="C133" t="s">
        <v>602</v>
      </c>
      <c r="D133" t="s">
        <v>605</v>
      </c>
    </row>
    <row r="134" spans="1:6" x14ac:dyDescent="0.3">
      <c r="A134" t="s">
        <v>339</v>
      </c>
      <c r="B134">
        <v>5</v>
      </c>
      <c r="C134" t="s">
        <v>602</v>
      </c>
    </row>
    <row r="135" spans="1:6" x14ac:dyDescent="0.3">
      <c r="A135" s="3" t="s">
        <v>145</v>
      </c>
      <c r="B135">
        <v>18</v>
      </c>
      <c r="C135" t="s">
        <v>602</v>
      </c>
    </row>
    <row r="136" spans="1:6" x14ac:dyDescent="0.3">
      <c r="A136" t="s">
        <v>219</v>
      </c>
      <c r="B136">
        <v>16</v>
      </c>
      <c r="C136" t="s">
        <v>602</v>
      </c>
      <c r="D136" t="s">
        <v>606</v>
      </c>
      <c r="E136" s="2">
        <v>1</v>
      </c>
      <c r="F136">
        <v>1</v>
      </c>
    </row>
    <row r="137" spans="1:6" x14ac:dyDescent="0.3">
      <c r="A137" t="s">
        <v>456</v>
      </c>
      <c r="B137">
        <v>1</v>
      </c>
      <c r="C137" t="s">
        <v>602</v>
      </c>
    </row>
    <row r="138" spans="1:6" x14ac:dyDescent="0.3">
      <c r="A138" s="3" t="s">
        <v>87</v>
      </c>
      <c r="B138">
        <v>18</v>
      </c>
      <c r="C138" t="s">
        <v>607</v>
      </c>
    </row>
    <row r="139" spans="1:6" x14ac:dyDescent="0.3">
      <c r="A139" s="3" t="s">
        <v>66</v>
      </c>
      <c r="B139">
        <v>19</v>
      </c>
      <c r="C139" t="s">
        <v>607</v>
      </c>
    </row>
    <row r="140" spans="1:6" x14ac:dyDescent="0.3">
      <c r="A140" s="3" t="s">
        <v>118</v>
      </c>
      <c r="B140">
        <v>18</v>
      </c>
      <c r="C140" t="s">
        <v>607</v>
      </c>
    </row>
    <row r="141" spans="1:6" x14ac:dyDescent="0.3">
      <c r="A141" s="3" t="s">
        <v>144</v>
      </c>
      <c r="B141">
        <v>8</v>
      </c>
      <c r="C141" t="s">
        <v>607</v>
      </c>
    </row>
    <row r="142" spans="1:6" x14ac:dyDescent="0.3">
      <c r="A142" s="3" t="s">
        <v>26</v>
      </c>
      <c r="B142">
        <v>19</v>
      </c>
      <c r="C142" t="s">
        <v>607</v>
      </c>
      <c r="E142" s="2">
        <v>3</v>
      </c>
      <c r="F142">
        <v>3</v>
      </c>
    </row>
    <row r="143" spans="1:6" x14ac:dyDescent="0.3">
      <c r="A143" s="3" t="s">
        <v>15</v>
      </c>
      <c r="B143">
        <v>19</v>
      </c>
      <c r="C143" t="s">
        <v>607</v>
      </c>
      <c r="F143">
        <v>2</v>
      </c>
    </row>
    <row r="144" spans="1:6" x14ac:dyDescent="0.3">
      <c r="A144" s="3" t="s">
        <v>134</v>
      </c>
      <c r="B144">
        <v>5</v>
      </c>
      <c r="C144" t="s">
        <v>607</v>
      </c>
    </row>
    <row r="145" spans="1:6" x14ac:dyDescent="0.3">
      <c r="A145" s="3" t="s">
        <v>53</v>
      </c>
      <c r="B145">
        <v>2</v>
      </c>
      <c r="C145" s="1" t="s">
        <v>607</v>
      </c>
    </row>
    <row r="146" spans="1:6" x14ac:dyDescent="0.3">
      <c r="A146" s="3" t="s">
        <v>76</v>
      </c>
      <c r="B146">
        <v>16</v>
      </c>
      <c r="C146" t="s">
        <v>607</v>
      </c>
    </row>
    <row r="147" spans="1:6" x14ac:dyDescent="0.3">
      <c r="A147" s="3" t="s">
        <v>6</v>
      </c>
      <c r="B147">
        <v>18</v>
      </c>
      <c r="C147" t="s">
        <v>607</v>
      </c>
      <c r="E147" s="2">
        <v>1</v>
      </c>
    </row>
    <row r="148" spans="1:6" x14ac:dyDescent="0.3">
      <c r="A148" s="3" t="s">
        <v>465</v>
      </c>
      <c r="B148">
        <v>1</v>
      </c>
      <c r="C148" t="s">
        <v>607</v>
      </c>
    </row>
    <row r="149" spans="1:6" x14ac:dyDescent="0.3">
      <c r="A149" s="3" t="s">
        <v>125</v>
      </c>
      <c r="B149">
        <v>15</v>
      </c>
      <c r="C149" t="s">
        <v>607</v>
      </c>
      <c r="D149" t="s">
        <v>608</v>
      </c>
    </row>
    <row r="150" spans="1:6" x14ac:dyDescent="0.3">
      <c r="A150" s="3" t="s">
        <v>138</v>
      </c>
      <c r="B150">
        <v>12</v>
      </c>
      <c r="C150" t="s">
        <v>607</v>
      </c>
      <c r="D150" t="s">
        <v>609</v>
      </c>
    </row>
    <row r="151" spans="1:6" x14ac:dyDescent="0.3">
      <c r="A151" s="3" t="s">
        <v>182</v>
      </c>
      <c r="B151">
        <v>10</v>
      </c>
      <c r="C151" t="s">
        <v>607</v>
      </c>
    </row>
    <row r="152" spans="1:6" x14ac:dyDescent="0.3">
      <c r="A152" s="3" t="s">
        <v>12</v>
      </c>
      <c r="B152">
        <v>17</v>
      </c>
      <c r="C152" t="s">
        <v>607</v>
      </c>
      <c r="D152" t="s">
        <v>610</v>
      </c>
    </row>
    <row r="153" spans="1:6" x14ac:dyDescent="0.3">
      <c r="A153" s="3" t="s">
        <v>124</v>
      </c>
      <c r="B153">
        <v>10</v>
      </c>
      <c r="C153" t="s">
        <v>607</v>
      </c>
      <c r="D153" t="s">
        <v>611</v>
      </c>
      <c r="E153" s="2">
        <v>2</v>
      </c>
      <c r="F153">
        <v>1</v>
      </c>
    </row>
    <row r="154" spans="1:6" x14ac:dyDescent="0.3">
      <c r="A154" s="3" t="s">
        <v>85</v>
      </c>
      <c r="B154">
        <v>12</v>
      </c>
      <c r="C154" t="s">
        <v>612</v>
      </c>
    </row>
    <row r="155" spans="1:6" x14ac:dyDescent="0.3">
      <c r="A155" s="3" t="s">
        <v>100</v>
      </c>
      <c r="B155">
        <v>18</v>
      </c>
      <c r="C155" t="s">
        <v>612</v>
      </c>
    </row>
    <row r="156" spans="1:6" x14ac:dyDescent="0.3">
      <c r="A156" t="s">
        <v>173</v>
      </c>
      <c r="B156">
        <v>18</v>
      </c>
      <c r="C156" t="s">
        <v>612</v>
      </c>
    </row>
    <row r="157" spans="1:6" x14ac:dyDescent="0.3">
      <c r="A157" t="s">
        <v>318</v>
      </c>
      <c r="B157">
        <v>2</v>
      </c>
      <c r="C157" t="s">
        <v>612</v>
      </c>
    </row>
    <row r="158" spans="1:6" x14ac:dyDescent="0.3">
      <c r="A158" t="s">
        <v>80</v>
      </c>
      <c r="B158">
        <v>13</v>
      </c>
      <c r="C158" t="s">
        <v>612</v>
      </c>
    </row>
    <row r="159" spans="1:6" x14ac:dyDescent="0.3">
      <c r="A159" t="s">
        <v>336</v>
      </c>
      <c r="B159">
        <v>2</v>
      </c>
      <c r="C159" t="s">
        <v>612</v>
      </c>
    </row>
    <row r="160" spans="1:6" x14ac:dyDescent="0.3">
      <c r="A160" s="3" t="s">
        <v>110</v>
      </c>
      <c r="B160">
        <v>17</v>
      </c>
      <c r="C160" t="s">
        <v>612</v>
      </c>
    </row>
    <row r="161" spans="1:6" x14ac:dyDescent="0.3">
      <c r="A161" t="s">
        <v>395</v>
      </c>
      <c r="B161">
        <v>3</v>
      </c>
      <c r="C161" t="s">
        <v>612</v>
      </c>
    </row>
    <row r="162" spans="1:6" x14ac:dyDescent="0.3">
      <c r="A162" s="3" t="s">
        <v>28</v>
      </c>
      <c r="B162">
        <v>18</v>
      </c>
      <c r="C162" t="s">
        <v>612</v>
      </c>
    </row>
    <row r="163" spans="1:6" x14ac:dyDescent="0.3">
      <c r="A163" t="s">
        <v>153</v>
      </c>
      <c r="B163">
        <v>18</v>
      </c>
      <c r="C163" t="s">
        <v>612</v>
      </c>
    </row>
    <row r="164" spans="1:6" x14ac:dyDescent="0.3">
      <c r="A164" s="3" t="s">
        <v>255</v>
      </c>
      <c r="B164">
        <v>15</v>
      </c>
      <c r="C164" t="s">
        <v>612</v>
      </c>
    </row>
    <row r="165" spans="1:6" x14ac:dyDescent="0.3">
      <c r="A165" s="3" t="s">
        <v>69</v>
      </c>
      <c r="B165">
        <v>17</v>
      </c>
      <c r="C165" t="s">
        <v>612</v>
      </c>
    </row>
    <row r="166" spans="1:6" x14ac:dyDescent="0.3">
      <c r="A166" s="3" t="s">
        <v>122</v>
      </c>
      <c r="B166">
        <v>12</v>
      </c>
      <c r="C166" t="s">
        <v>612</v>
      </c>
      <c r="D166" t="s">
        <v>613</v>
      </c>
    </row>
    <row r="167" spans="1:6" x14ac:dyDescent="0.3">
      <c r="A167" s="3" t="s">
        <v>90</v>
      </c>
      <c r="B167">
        <v>17</v>
      </c>
      <c r="C167" t="s">
        <v>612</v>
      </c>
    </row>
    <row r="168" spans="1:6" x14ac:dyDescent="0.3">
      <c r="A168" t="s">
        <v>35</v>
      </c>
      <c r="B168">
        <v>17</v>
      </c>
      <c r="C168" t="s">
        <v>612</v>
      </c>
    </row>
    <row r="169" spans="1:6" x14ac:dyDescent="0.3">
      <c r="A169" t="s">
        <v>166</v>
      </c>
      <c r="B169">
        <v>4</v>
      </c>
      <c r="C169" t="s">
        <v>614</v>
      </c>
      <c r="D169" t="s">
        <v>615</v>
      </c>
    </row>
    <row r="170" spans="1:6" x14ac:dyDescent="0.3">
      <c r="A170" t="s">
        <v>340</v>
      </c>
      <c r="B170">
        <v>3</v>
      </c>
      <c r="C170" t="s">
        <v>614</v>
      </c>
      <c r="E170" s="2">
        <v>1</v>
      </c>
      <c r="F170">
        <v>1</v>
      </c>
    </row>
    <row r="171" spans="1:6" x14ac:dyDescent="0.3">
      <c r="A171" t="s">
        <v>295</v>
      </c>
      <c r="B171">
        <v>2</v>
      </c>
      <c r="C171" t="s">
        <v>614</v>
      </c>
    </row>
    <row r="172" spans="1:6" x14ac:dyDescent="0.3">
      <c r="A172" t="s">
        <v>149</v>
      </c>
      <c r="B172">
        <v>8</v>
      </c>
      <c r="C172" t="s">
        <v>614</v>
      </c>
      <c r="D172" t="s">
        <v>616</v>
      </c>
    </row>
    <row r="173" spans="1:6" x14ac:dyDescent="0.3">
      <c r="A173" t="s">
        <v>216</v>
      </c>
      <c r="B173">
        <v>18</v>
      </c>
      <c r="C173" t="s">
        <v>614</v>
      </c>
    </row>
    <row r="174" spans="1:6" x14ac:dyDescent="0.3">
      <c r="A174" s="3" t="s">
        <v>86</v>
      </c>
      <c r="B174">
        <v>16</v>
      </c>
      <c r="C174" t="s">
        <v>614</v>
      </c>
    </row>
    <row r="175" spans="1:6" x14ac:dyDescent="0.3">
      <c r="A175" t="s">
        <v>183</v>
      </c>
      <c r="B175">
        <v>14</v>
      </c>
      <c r="C175" t="s">
        <v>614</v>
      </c>
    </row>
    <row r="176" spans="1:6" x14ac:dyDescent="0.3">
      <c r="A176" t="s">
        <v>162</v>
      </c>
      <c r="B176">
        <v>17</v>
      </c>
      <c r="C176" t="s">
        <v>614</v>
      </c>
    </row>
    <row r="177" spans="1:6" x14ac:dyDescent="0.3">
      <c r="A177" s="3" t="s">
        <v>237</v>
      </c>
      <c r="B177">
        <v>18</v>
      </c>
      <c r="C177" t="s">
        <v>614</v>
      </c>
      <c r="D177" t="s">
        <v>617</v>
      </c>
    </row>
    <row r="178" spans="1:6" x14ac:dyDescent="0.3">
      <c r="A178" t="s">
        <v>539</v>
      </c>
      <c r="B178">
        <v>1</v>
      </c>
      <c r="C178" s="1" t="s">
        <v>614</v>
      </c>
    </row>
    <row r="179" spans="1:6" x14ac:dyDescent="0.3">
      <c r="A179" t="s">
        <v>239</v>
      </c>
      <c r="B179">
        <v>4</v>
      </c>
      <c r="C179" t="s">
        <v>614</v>
      </c>
    </row>
    <row r="180" spans="1:6" x14ac:dyDescent="0.3">
      <c r="A180" s="3" t="s">
        <v>280</v>
      </c>
      <c r="B180">
        <v>11</v>
      </c>
      <c r="C180" t="s">
        <v>614</v>
      </c>
      <c r="D180" t="s">
        <v>618</v>
      </c>
    </row>
    <row r="181" spans="1:6" x14ac:dyDescent="0.3">
      <c r="A181" t="s">
        <v>461</v>
      </c>
      <c r="B181">
        <v>1</v>
      </c>
      <c r="C181" s="1" t="s">
        <v>614</v>
      </c>
    </row>
    <row r="182" spans="1:6" x14ac:dyDescent="0.3">
      <c r="A182" t="s">
        <v>394</v>
      </c>
      <c r="B182">
        <v>11</v>
      </c>
      <c r="C182" t="s">
        <v>614</v>
      </c>
    </row>
    <row r="183" spans="1:6" x14ac:dyDescent="0.3">
      <c r="A183" t="s">
        <v>147</v>
      </c>
      <c r="B183">
        <v>7</v>
      </c>
      <c r="C183" t="s">
        <v>614</v>
      </c>
    </row>
    <row r="184" spans="1:6" x14ac:dyDescent="0.3">
      <c r="A184" t="s">
        <v>205</v>
      </c>
      <c r="B184">
        <v>8</v>
      </c>
      <c r="C184" t="s">
        <v>614</v>
      </c>
    </row>
    <row r="185" spans="1:6" x14ac:dyDescent="0.3">
      <c r="A185" t="s">
        <v>270</v>
      </c>
      <c r="B185">
        <v>17</v>
      </c>
      <c r="C185" t="s">
        <v>614</v>
      </c>
      <c r="F185">
        <v>3</v>
      </c>
    </row>
    <row r="186" spans="1:6" x14ac:dyDescent="0.3">
      <c r="A186" t="s">
        <v>256</v>
      </c>
      <c r="B186">
        <v>8</v>
      </c>
      <c r="C186" t="s">
        <v>614</v>
      </c>
    </row>
    <row r="187" spans="1:6" x14ac:dyDescent="0.3">
      <c r="A187" s="3" t="s">
        <v>75</v>
      </c>
      <c r="B187">
        <v>18</v>
      </c>
      <c r="C187" t="s">
        <v>614</v>
      </c>
      <c r="E187" s="2">
        <v>2</v>
      </c>
    </row>
    <row r="188" spans="1:6" x14ac:dyDescent="0.3">
      <c r="A188" t="s">
        <v>54</v>
      </c>
      <c r="B188">
        <v>18</v>
      </c>
      <c r="C188" t="s">
        <v>614</v>
      </c>
      <c r="E188" s="2">
        <v>3</v>
      </c>
      <c r="F188">
        <v>2</v>
      </c>
    </row>
    <row r="189" spans="1:6" x14ac:dyDescent="0.3">
      <c r="A189" t="s">
        <v>269</v>
      </c>
      <c r="B189">
        <v>8</v>
      </c>
      <c r="C189" t="s">
        <v>619</v>
      </c>
      <c r="D189" t="s">
        <v>620</v>
      </c>
      <c r="E189" s="2">
        <v>1</v>
      </c>
      <c r="F189">
        <v>2</v>
      </c>
    </row>
    <row r="190" spans="1:6" x14ac:dyDescent="0.3">
      <c r="A190" t="s">
        <v>302</v>
      </c>
      <c r="B190">
        <v>13</v>
      </c>
      <c r="C190" t="s">
        <v>619</v>
      </c>
    </row>
    <row r="191" spans="1:6" x14ac:dyDescent="0.3">
      <c r="A191" t="s">
        <v>192</v>
      </c>
      <c r="B191">
        <v>18</v>
      </c>
      <c r="C191" t="s">
        <v>619</v>
      </c>
    </row>
    <row r="192" spans="1:6" x14ac:dyDescent="0.3">
      <c r="A192" s="3" t="s">
        <v>319</v>
      </c>
      <c r="B192">
        <v>18</v>
      </c>
      <c r="C192" t="s">
        <v>619</v>
      </c>
      <c r="F192">
        <v>1</v>
      </c>
    </row>
    <row r="193" spans="1:7" x14ac:dyDescent="0.3">
      <c r="A193" t="s">
        <v>292</v>
      </c>
      <c r="B193">
        <v>12</v>
      </c>
      <c r="C193" t="s">
        <v>619</v>
      </c>
    </row>
    <row r="194" spans="1:7" x14ac:dyDescent="0.3">
      <c r="A194" t="s">
        <v>353</v>
      </c>
      <c r="B194">
        <v>13</v>
      </c>
      <c r="C194" t="s">
        <v>619</v>
      </c>
      <c r="D194" t="s">
        <v>621</v>
      </c>
    </row>
    <row r="195" spans="1:7" x14ac:dyDescent="0.3">
      <c r="A195" t="s">
        <v>177</v>
      </c>
      <c r="B195">
        <v>15</v>
      </c>
      <c r="C195" t="s">
        <v>619</v>
      </c>
      <c r="D195" t="s">
        <v>622</v>
      </c>
      <c r="E195" s="2">
        <v>3</v>
      </c>
    </row>
    <row r="196" spans="1:7" x14ac:dyDescent="0.3">
      <c r="A196" t="s">
        <v>450</v>
      </c>
      <c r="B196">
        <v>1</v>
      </c>
      <c r="C196" t="s">
        <v>619</v>
      </c>
    </row>
    <row r="197" spans="1:7" x14ac:dyDescent="0.3">
      <c r="A197" t="s">
        <v>373</v>
      </c>
      <c r="B197">
        <v>16</v>
      </c>
      <c r="C197" t="s">
        <v>619</v>
      </c>
    </row>
    <row r="198" spans="1:7" x14ac:dyDescent="0.3">
      <c r="A198" t="s">
        <v>327</v>
      </c>
      <c r="B198">
        <v>16</v>
      </c>
      <c r="C198" t="s">
        <v>619</v>
      </c>
      <c r="D198" t="s">
        <v>623</v>
      </c>
    </row>
    <row r="199" spans="1:7" x14ac:dyDescent="0.3">
      <c r="A199" t="s">
        <v>223</v>
      </c>
      <c r="B199">
        <v>18</v>
      </c>
      <c r="C199" t="s">
        <v>619</v>
      </c>
      <c r="F199">
        <v>3</v>
      </c>
    </row>
    <row r="200" spans="1:7" x14ac:dyDescent="0.3">
      <c r="A200" t="s">
        <v>346</v>
      </c>
      <c r="B200">
        <v>7</v>
      </c>
      <c r="C200" t="s">
        <v>619</v>
      </c>
    </row>
    <row r="201" spans="1:7" x14ac:dyDescent="0.3">
      <c r="A201" t="s">
        <v>238</v>
      </c>
      <c r="B201">
        <v>5</v>
      </c>
      <c r="C201" t="s">
        <v>619</v>
      </c>
      <c r="E201" s="2">
        <v>2</v>
      </c>
    </row>
    <row r="202" spans="1:7" x14ac:dyDescent="0.3">
      <c r="A202" s="3" t="s">
        <v>251</v>
      </c>
      <c r="B202">
        <v>19</v>
      </c>
      <c r="C202" t="s">
        <v>619</v>
      </c>
    </row>
    <row r="203" spans="1:7" x14ac:dyDescent="0.3">
      <c r="A203" t="s">
        <v>349</v>
      </c>
      <c r="B203">
        <v>18</v>
      </c>
      <c r="C203" t="s">
        <v>619</v>
      </c>
    </row>
    <row r="204" spans="1:7" x14ac:dyDescent="0.3">
      <c r="A204" t="s">
        <v>187</v>
      </c>
      <c r="B204">
        <v>10</v>
      </c>
      <c r="C204" t="s">
        <v>624</v>
      </c>
      <c r="D204" t="s">
        <v>625</v>
      </c>
      <c r="G204">
        <v>2</v>
      </c>
    </row>
    <row r="205" spans="1:7" x14ac:dyDescent="0.3">
      <c r="A205" t="s">
        <v>337</v>
      </c>
      <c r="B205">
        <v>5</v>
      </c>
      <c r="C205" t="s">
        <v>624</v>
      </c>
    </row>
    <row r="206" spans="1:7" x14ac:dyDescent="0.3">
      <c r="A206" s="3" t="s">
        <v>191</v>
      </c>
      <c r="B206">
        <v>18</v>
      </c>
      <c r="C206" t="s">
        <v>624</v>
      </c>
      <c r="D206" t="s">
        <v>626</v>
      </c>
    </row>
    <row r="207" spans="1:7" x14ac:dyDescent="0.3">
      <c r="A207" s="3" t="s">
        <v>155</v>
      </c>
      <c r="B207">
        <v>18</v>
      </c>
      <c r="C207" t="s">
        <v>624</v>
      </c>
      <c r="D207" t="s">
        <v>627</v>
      </c>
    </row>
    <row r="208" spans="1:7" x14ac:dyDescent="0.3">
      <c r="A208" t="s">
        <v>331</v>
      </c>
      <c r="B208">
        <v>1</v>
      </c>
      <c r="C208" t="s">
        <v>624</v>
      </c>
    </row>
    <row r="209" spans="1:7" x14ac:dyDescent="0.3">
      <c r="A209" t="s">
        <v>43</v>
      </c>
      <c r="B209">
        <v>14</v>
      </c>
      <c r="C209" t="s">
        <v>624</v>
      </c>
    </row>
    <row r="210" spans="1:7" x14ac:dyDescent="0.3">
      <c r="A210" t="s">
        <v>338</v>
      </c>
      <c r="B210">
        <v>1</v>
      </c>
      <c r="C210" t="s">
        <v>624</v>
      </c>
    </row>
    <row r="211" spans="1:7" x14ac:dyDescent="0.3">
      <c r="A211" s="3" t="s">
        <v>102</v>
      </c>
      <c r="B211">
        <v>18</v>
      </c>
      <c r="C211" t="s">
        <v>624</v>
      </c>
    </row>
    <row r="212" spans="1:7" x14ac:dyDescent="0.3">
      <c r="A212" s="3" t="s">
        <v>99</v>
      </c>
      <c r="B212">
        <v>19</v>
      </c>
      <c r="C212" t="s">
        <v>624</v>
      </c>
      <c r="E212" s="2">
        <v>1</v>
      </c>
      <c r="F212">
        <v>3</v>
      </c>
    </row>
    <row r="213" spans="1:7" x14ac:dyDescent="0.3">
      <c r="A213" t="s">
        <v>179</v>
      </c>
      <c r="B213">
        <v>2</v>
      </c>
      <c r="C213" t="s">
        <v>624</v>
      </c>
    </row>
    <row r="214" spans="1:7" x14ac:dyDescent="0.3">
      <c r="A214" t="s">
        <v>106</v>
      </c>
      <c r="B214">
        <v>18</v>
      </c>
      <c r="C214" t="s">
        <v>624</v>
      </c>
      <c r="D214" t="s">
        <v>628</v>
      </c>
      <c r="G214">
        <v>1</v>
      </c>
    </row>
    <row r="215" spans="1:7" x14ac:dyDescent="0.3">
      <c r="A215" s="3" t="s">
        <v>36</v>
      </c>
      <c r="B215">
        <v>18</v>
      </c>
      <c r="C215" t="s">
        <v>624</v>
      </c>
      <c r="E215" s="2">
        <v>2</v>
      </c>
      <c r="F215">
        <v>2</v>
      </c>
    </row>
    <row r="216" spans="1:7" x14ac:dyDescent="0.3">
      <c r="A216" s="3" t="s">
        <v>40</v>
      </c>
      <c r="B216">
        <v>19</v>
      </c>
      <c r="C216" t="s">
        <v>624</v>
      </c>
    </row>
    <row r="217" spans="1:7" x14ac:dyDescent="0.3">
      <c r="A217" s="3" t="s">
        <v>24</v>
      </c>
      <c r="B217">
        <v>18</v>
      </c>
      <c r="C217" t="s">
        <v>624</v>
      </c>
      <c r="E217" s="2">
        <v>3</v>
      </c>
    </row>
    <row r="218" spans="1:7" x14ac:dyDescent="0.3">
      <c r="A218" t="s">
        <v>116</v>
      </c>
      <c r="B218">
        <v>16</v>
      </c>
      <c r="C218" t="s">
        <v>624</v>
      </c>
      <c r="D218" t="s">
        <v>629</v>
      </c>
      <c r="F218">
        <v>1</v>
      </c>
      <c r="G218">
        <v>2</v>
      </c>
    </row>
    <row r="219" spans="1:7" x14ac:dyDescent="0.3">
      <c r="A219" t="s">
        <v>95</v>
      </c>
      <c r="B219">
        <v>8</v>
      </c>
      <c r="C219" t="s">
        <v>624</v>
      </c>
    </row>
    <row r="220" spans="1:7" x14ac:dyDescent="0.3">
      <c r="A220" s="3" t="s">
        <v>268</v>
      </c>
      <c r="B220">
        <v>17</v>
      </c>
      <c r="C220" t="s">
        <v>630</v>
      </c>
    </row>
    <row r="221" spans="1:7" x14ac:dyDescent="0.3">
      <c r="A221" t="s">
        <v>485</v>
      </c>
      <c r="B221">
        <v>8</v>
      </c>
      <c r="C221" t="s">
        <v>630</v>
      </c>
    </row>
    <row r="222" spans="1:7" x14ac:dyDescent="0.3">
      <c r="A222" t="s">
        <v>356</v>
      </c>
      <c r="B222">
        <v>17</v>
      </c>
      <c r="C222" t="s">
        <v>630</v>
      </c>
    </row>
    <row r="223" spans="1:7" x14ac:dyDescent="0.3">
      <c r="A223" t="s">
        <v>404</v>
      </c>
      <c r="B223">
        <v>18</v>
      </c>
      <c r="C223" t="s">
        <v>630</v>
      </c>
    </row>
    <row r="224" spans="1:7" x14ac:dyDescent="0.3">
      <c r="A224" t="s">
        <v>449</v>
      </c>
      <c r="B224">
        <v>5</v>
      </c>
      <c r="C224" t="s">
        <v>630</v>
      </c>
    </row>
    <row r="225" spans="1:6" x14ac:dyDescent="0.3">
      <c r="A225" t="s">
        <v>412</v>
      </c>
      <c r="B225">
        <v>6</v>
      </c>
      <c r="C225" t="s">
        <v>630</v>
      </c>
    </row>
    <row r="226" spans="1:6" x14ac:dyDescent="0.3">
      <c r="A226" t="s">
        <v>185</v>
      </c>
      <c r="B226">
        <v>17</v>
      </c>
      <c r="C226" t="s">
        <v>630</v>
      </c>
      <c r="D226" t="s">
        <v>631</v>
      </c>
      <c r="F226">
        <v>2</v>
      </c>
    </row>
    <row r="227" spans="1:6" x14ac:dyDescent="0.3">
      <c r="A227" s="3" t="s">
        <v>141</v>
      </c>
      <c r="B227">
        <v>17</v>
      </c>
      <c r="C227" t="s">
        <v>630</v>
      </c>
      <c r="E227" s="2">
        <v>2</v>
      </c>
    </row>
    <row r="228" spans="1:6" x14ac:dyDescent="0.3">
      <c r="A228" t="s">
        <v>365</v>
      </c>
      <c r="B228">
        <v>11</v>
      </c>
      <c r="C228" t="s">
        <v>630</v>
      </c>
      <c r="D228" t="s">
        <v>632</v>
      </c>
    </row>
    <row r="229" spans="1:6" x14ac:dyDescent="0.3">
      <c r="A229" t="s">
        <v>517</v>
      </c>
      <c r="B229">
        <v>1</v>
      </c>
      <c r="C229" t="s">
        <v>630</v>
      </c>
    </row>
    <row r="230" spans="1:6" x14ac:dyDescent="0.3">
      <c r="A230" t="s">
        <v>392</v>
      </c>
      <c r="B230">
        <v>11</v>
      </c>
      <c r="C230" t="s">
        <v>630</v>
      </c>
    </row>
    <row r="231" spans="1:6" x14ac:dyDescent="0.3">
      <c r="A231" t="s">
        <v>352</v>
      </c>
      <c r="B231">
        <v>7</v>
      </c>
      <c r="C231" t="s">
        <v>630</v>
      </c>
    </row>
    <row r="232" spans="1:6" x14ac:dyDescent="0.3">
      <c r="A232" t="s">
        <v>273</v>
      </c>
      <c r="B232">
        <v>18</v>
      </c>
      <c r="C232" t="s">
        <v>630</v>
      </c>
    </row>
    <row r="233" spans="1:6" x14ac:dyDescent="0.3">
      <c r="A233" t="s">
        <v>240</v>
      </c>
      <c r="B233">
        <v>13.5</v>
      </c>
      <c r="C233" t="s">
        <v>630</v>
      </c>
      <c r="D233" t="s">
        <v>633</v>
      </c>
      <c r="F233">
        <v>1</v>
      </c>
    </row>
    <row r="234" spans="1:6" x14ac:dyDescent="0.3">
      <c r="A234" t="s">
        <v>271</v>
      </c>
      <c r="B234">
        <v>12</v>
      </c>
      <c r="C234" t="s">
        <v>630</v>
      </c>
      <c r="D234" t="s">
        <v>634</v>
      </c>
      <c r="E234" s="2">
        <v>3</v>
      </c>
      <c r="F234">
        <v>3</v>
      </c>
    </row>
    <row r="235" spans="1:6" x14ac:dyDescent="0.3">
      <c r="A235" t="s">
        <v>439</v>
      </c>
      <c r="B235">
        <v>1</v>
      </c>
      <c r="C235" t="s">
        <v>630</v>
      </c>
      <c r="E235" s="2">
        <v>1</v>
      </c>
    </row>
    <row r="236" spans="1:6" x14ac:dyDescent="0.3">
      <c r="A236" t="s">
        <v>367</v>
      </c>
      <c r="B236">
        <v>3.5</v>
      </c>
      <c r="C236" t="s">
        <v>630</v>
      </c>
    </row>
    <row r="237" spans="1:6" x14ac:dyDescent="0.3">
      <c r="A237" t="s">
        <v>366</v>
      </c>
      <c r="B237">
        <v>18</v>
      </c>
      <c r="C237" t="s">
        <v>630</v>
      </c>
    </row>
    <row r="238" spans="1:6" x14ac:dyDescent="0.3">
      <c r="A238" t="s">
        <v>410</v>
      </c>
      <c r="B238">
        <v>2.5</v>
      </c>
      <c r="C238" t="s">
        <v>630</v>
      </c>
    </row>
    <row r="239" spans="1:6" x14ac:dyDescent="0.3">
      <c r="A239" s="3" t="s">
        <v>313</v>
      </c>
      <c r="B239">
        <v>10</v>
      </c>
      <c r="C239" t="s">
        <v>635</v>
      </c>
      <c r="D239" t="s">
        <v>636</v>
      </c>
    </row>
    <row r="240" spans="1:6" x14ac:dyDescent="0.3">
      <c r="A240" t="s">
        <v>281</v>
      </c>
      <c r="B240">
        <v>1</v>
      </c>
      <c r="C240" t="s">
        <v>635</v>
      </c>
      <c r="D240" t="s">
        <v>637</v>
      </c>
    </row>
    <row r="241" spans="1:6" x14ac:dyDescent="0.3">
      <c r="A241" s="3" t="s">
        <v>51</v>
      </c>
      <c r="B241">
        <v>14</v>
      </c>
      <c r="C241" t="s">
        <v>635</v>
      </c>
      <c r="D241" t="s">
        <v>638</v>
      </c>
      <c r="E241" s="2">
        <v>3</v>
      </c>
      <c r="F241">
        <v>3</v>
      </c>
    </row>
    <row r="242" spans="1:6" x14ac:dyDescent="0.3">
      <c r="A242" s="3" t="s">
        <v>130</v>
      </c>
      <c r="B242">
        <v>18</v>
      </c>
      <c r="C242" t="s">
        <v>635</v>
      </c>
    </row>
    <row r="243" spans="1:6" x14ac:dyDescent="0.3">
      <c r="A243" s="3" t="s">
        <v>13</v>
      </c>
      <c r="B243">
        <v>18</v>
      </c>
      <c r="C243" t="s">
        <v>635</v>
      </c>
      <c r="E243" s="2">
        <v>2</v>
      </c>
    </row>
    <row r="244" spans="1:6" x14ac:dyDescent="0.3">
      <c r="A244" s="3" t="s">
        <v>228</v>
      </c>
      <c r="B244">
        <v>19</v>
      </c>
      <c r="C244" t="s">
        <v>635</v>
      </c>
    </row>
    <row r="245" spans="1:6" x14ac:dyDescent="0.3">
      <c r="A245" t="s">
        <v>459</v>
      </c>
      <c r="B245">
        <v>4</v>
      </c>
      <c r="C245" t="s">
        <v>635</v>
      </c>
      <c r="D245" s="1"/>
    </row>
    <row r="246" spans="1:6" x14ac:dyDescent="0.3">
      <c r="A246" s="3" t="s">
        <v>22</v>
      </c>
      <c r="B246">
        <v>19</v>
      </c>
      <c r="C246" t="s">
        <v>635</v>
      </c>
    </row>
    <row r="247" spans="1:6" x14ac:dyDescent="0.3">
      <c r="A247" s="3" t="s">
        <v>113</v>
      </c>
      <c r="B247">
        <v>18</v>
      </c>
      <c r="C247" t="s">
        <v>635</v>
      </c>
    </row>
    <row r="248" spans="1:6" x14ac:dyDescent="0.3">
      <c r="A248" t="s">
        <v>206</v>
      </c>
      <c r="B248">
        <v>8</v>
      </c>
      <c r="C248" t="s">
        <v>635</v>
      </c>
      <c r="F248">
        <v>1</v>
      </c>
    </row>
    <row r="249" spans="1:6" x14ac:dyDescent="0.3">
      <c r="A249" t="s">
        <v>314</v>
      </c>
      <c r="B249">
        <v>6</v>
      </c>
      <c r="C249" t="s">
        <v>635</v>
      </c>
    </row>
    <row r="250" spans="1:6" x14ac:dyDescent="0.3">
      <c r="A250" s="3" t="s">
        <v>105</v>
      </c>
      <c r="B250">
        <v>10</v>
      </c>
      <c r="C250" t="s">
        <v>635</v>
      </c>
      <c r="D250" t="s">
        <v>639</v>
      </c>
      <c r="E250" s="2">
        <v>1</v>
      </c>
      <c r="F250">
        <v>2</v>
      </c>
    </row>
    <row r="251" spans="1:6" x14ac:dyDescent="0.3">
      <c r="A251" s="3" t="s">
        <v>107</v>
      </c>
      <c r="B251">
        <v>18</v>
      </c>
      <c r="C251" t="s">
        <v>635</v>
      </c>
    </row>
    <row r="252" spans="1:6" x14ac:dyDescent="0.3">
      <c r="A252" s="3" t="s">
        <v>81</v>
      </c>
      <c r="B252">
        <v>17</v>
      </c>
      <c r="C252" t="s">
        <v>635</v>
      </c>
    </row>
    <row r="253" spans="1:6" x14ac:dyDescent="0.3">
      <c r="A253" s="3" t="s">
        <v>203</v>
      </c>
      <c r="B253">
        <v>14</v>
      </c>
      <c r="C253" t="s">
        <v>635</v>
      </c>
      <c r="D253" t="s">
        <v>640</v>
      </c>
    </row>
    <row r="254" spans="1:6" x14ac:dyDescent="0.3">
      <c r="A254" t="s">
        <v>143</v>
      </c>
      <c r="B254">
        <v>4</v>
      </c>
      <c r="C254" t="s">
        <v>635</v>
      </c>
    </row>
    <row r="255" spans="1:6" x14ac:dyDescent="0.3">
      <c r="A255" t="s">
        <v>92</v>
      </c>
      <c r="B255">
        <v>6</v>
      </c>
      <c r="C255" t="s">
        <v>635</v>
      </c>
    </row>
    <row r="256" spans="1:6" x14ac:dyDescent="0.3">
      <c r="B256">
        <v>4</v>
      </c>
      <c r="C256" t="s">
        <v>635</v>
      </c>
      <c r="D256" s="1" t="s">
        <v>641</v>
      </c>
    </row>
    <row r="257" spans="1:6" x14ac:dyDescent="0.3">
      <c r="A257" t="s">
        <v>296</v>
      </c>
      <c r="B257">
        <v>2</v>
      </c>
      <c r="C257" t="s">
        <v>642</v>
      </c>
    </row>
    <row r="258" spans="1:6" x14ac:dyDescent="0.3">
      <c r="A258" s="3" t="s">
        <v>140</v>
      </c>
      <c r="B258">
        <v>18</v>
      </c>
      <c r="C258" t="s">
        <v>642</v>
      </c>
      <c r="F258">
        <v>3</v>
      </c>
    </row>
    <row r="259" spans="1:6" x14ac:dyDescent="0.3">
      <c r="A259" t="s">
        <v>391</v>
      </c>
      <c r="B259">
        <v>5</v>
      </c>
      <c r="C259" t="s">
        <v>642</v>
      </c>
    </row>
    <row r="260" spans="1:6" x14ac:dyDescent="0.3">
      <c r="A260" t="s">
        <v>253</v>
      </c>
      <c r="B260">
        <v>4</v>
      </c>
      <c r="C260" t="s">
        <v>642</v>
      </c>
    </row>
    <row r="261" spans="1:6" x14ac:dyDescent="0.3">
      <c r="A261" t="s">
        <v>546</v>
      </c>
      <c r="B261">
        <v>11</v>
      </c>
      <c r="C261" t="s">
        <v>642</v>
      </c>
    </row>
    <row r="262" spans="1:6" x14ac:dyDescent="0.3">
      <c r="A262" t="s">
        <v>464</v>
      </c>
      <c r="B262">
        <v>8</v>
      </c>
      <c r="C262" t="s">
        <v>642</v>
      </c>
      <c r="D262" t="s">
        <v>643</v>
      </c>
    </row>
    <row r="263" spans="1:6" x14ac:dyDescent="0.3">
      <c r="A263" s="3" t="s">
        <v>214</v>
      </c>
      <c r="B263">
        <v>18</v>
      </c>
      <c r="C263" t="s">
        <v>642</v>
      </c>
    </row>
    <row r="264" spans="1:6" x14ac:dyDescent="0.3">
      <c r="A264" t="s">
        <v>322</v>
      </c>
      <c r="B264">
        <v>2</v>
      </c>
      <c r="C264" t="s">
        <v>642</v>
      </c>
    </row>
    <row r="265" spans="1:6" x14ac:dyDescent="0.3">
      <c r="A265" s="3" t="s">
        <v>321</v>
      </c>
      <c r="B265">
        <v>8</v>
      </c>
      <c r="C265" t="s">
        <v>642</v>
      </c>
    </row>
    <row r="266" spans="1:6" x14ac:dyDescent="0.3">
      <c r="A266" t="s">
        <v>284</v>
      </c>
      <c r="B266">
        <v>12</v>
      </c>
      <c r="C266" t="s">
        <v>642</v>
      </c>
      <c r="D266" t="s">
        <v>644</v>
      </c>
    </row>
    <row r="267" spans="1:6" x14ac:dyDescent="0.3">
      <c r="A267" s="3" t="s">
        <v>266</v>
      </c>
      <c r="B267">
        <v>18</v>
      </c>
      <c r="C267" t="s">
        <v>642</v>
      </c>
    </row>
    <row r="268" spans="1:6" x14ac:dyDescent="0.3">
      <c r="A268" t="s">
        <v>489</v>
      </c>
      <c r="B268">
        <v>3</v>
      </c>
      <c r="C268" t="s">
        <v>642</v>
      </c>
    </row>
    <row r="269" spans="1:6" x14ac:dyDescent="0.3">
      <c r="A269" t="s">
        <v>248</v>
      </c>
      <c r="B269">
        <v>14</v>
      </c>
      <c r="C269" t="s">
        <v>642</v>
      </c>
      <c r="D269" t="s">
        <v>645</v>
      </c>
      <c r="F269">
        <v>2</v>
      </c>
    </row>
    <row r="270" spans="1:6" x14ac:dyDescent="0.3">
      <c r="A270" t="s">
        <v>132</v>
      </c>
      <c r="B270">
        <v>13</v>
      </c>
      <c r="C270" t="s">
        <v>642</v>
      </c>
      <c r="D270" t="s">
        <v>646</v>
      </c>
      <c r="E270" s="2">
        <v>2</v>
      </c>
    </row>
    <row r="271" spans="1:6" x14ac:dyDescent="0.3">
      <c r="A271" t="s">
        <v>329</v>
      </c>
      <c r="B271">
        <v>6</v>
      </c>
      <c r="C271" t="s">
        <v>642</v>
      </c>
    </row>
    <row r="272" spans="1:6" x14ac:dyDescent="0.3">
      <c r="A272" t="s">
        <v>114</v>
      </c>
      <c r="B272">
        <v>17</v>
      </c>
      <c r="C272" t="s">
        <v>642</v>
      </c>
      <c r="E272" s="2">
        <v>3</v>
      </c>
    </row>
    <row r="273" spans="1:6" x14ac:dyDescent="0.3">
      <c r="A273" t="s">
        <v>425</v>
      </c>
      <c r="B273">
        <v>18</v>
      </c>
      <c r="C273" t="s">
        <v>642</v>
      </c>
    </row>
    <row r="274" spans="1:6" x14ac:dyDescent="0.3">
      <c r="A274" s="3" t="s">
        <v>402</v>
      </c>
      <c r="B274">
        <v>13</v>
      </c>
      <c r="C274" t="s">
        <v>642</v>
      </c>
    </row>
    <row r="275" spans="1:6" x14ac:dyDescent="0.3">
      <c r="A275" s="3" t="s">
        <v>201</v>
      </c>
      <c r="B275">
        <v>16</v>
      </c>
      <c r="C275" t="s">
        <v>642</v>
      </c>
      <c r="E275" s="2">
        <v>1</v>
      </c>
      <c r="F275">
        <v>1</v>
      </c>
    </row>
    <row r="276" spans="1:6" x14ac:dyDescent="0.3">
      <c r="A276" t="s">
        <v>62</v>
      </c>
      <c r="B276">
        <v>6</v>
      </c>
      <c r="C276" t="s">
        <v>647</v>
      </c>
      <c r="E276" s="2">
        <v>1</v>
      </c>
    </row>
    <row r="277" spans="1:6" x14ac:dyDescent="0.3">
      <c r="A277" t="s">
        <v>160</v>
      </c>
      <c r="B277">
        <v>18</v>
      </c>
      <c r="C277" t="s">
        <v>647</v>
      </c>
    </row>
    <row r="278" spans="1:6" x14ac:dyDescent="0.3">
      <c r="A278" t="s">
        <v>68</v>
      </c>
      <c r="B278">
        <v>16</v>
      </c>
      <c r="C278" t="s">
        <v>647</v>
      </c>
      <c r="D278" t="s">
        <v>648</v>
      </c>
      <c r="E278" s="2">
        <v>2</v>
      </c>
      <c r="F278">
        <v>3</v>
      </c>
    </row>
    <row r="279" spans="1:6" x14ac:dyDescent="0.3">
      <c r="A279" t="s">
        <v>190</v>
      </c>
      <c r="B279">
        <v>15</v>
      </c>
      <c r="C279" t="s">
        <v>647</v>
      </c>
      <c r="D279" t="s">
        <v>649</v>
      </c>
    </row>
    <row r="280" spans="1:6" x14ac:dyDescent="0.3">
      <c r="A280" s="3" t="s">
        <v>121</v>
      </c>
      <c r="B280">
        <v>18</v>
      </c>
      <c r="C280" t="s">
        <v>647</v>
      </c>
    </row>
    <row r="281" spans="1:6" x14ac:dyDescent="0.3">
      <c r="A281" t="s">
        <v>230</v>
      </c>
      <c r="B281">
        <v>5</v>
      </c>
      <c r="C281" t="s">
        <v>647</v>
      </c>
    </row>
    <row r="282" spans="1:6" x14ac:dyDescent="0.3">
      <c r="A282" s="3" t="s">
        <v>10</v>
      </c>
      <c r="B282">
        <v>18</v>
      </c>
      <c r="C282" t="s">
        <v>647</v>
      </c>
      <c r="E282" s="2">
        <v>3</v>
      </c>
      <c r="F282">
        <v>2</v>
      </c>
    </row>
    <row r="283" spans="1:6" x14ac:dyDescent="0.3">
      <c r="A283" s="3" t="s">
        <v>101</v>
      </c>
      <c r="B283">
        <v>18</v>
      </c>
      <c r="C283" t="s">
        <v>647</v>
      </c>
    </row>
    <row r="284" spans="1:6" x14ac:dyDescent="0.3">
      <c r="A284" s="3" t="s">
        <v>59</v>
      </c>
      <c r="B284">
        <v>18</v>
      </c>
      <c r="C284" t="s">
        <v>647</v>
      </c>
    </row>
    <row r="285" spans="1:6" x14ac:dyDescent="0.3">
      <c r="A285" t="s">
        <v>47</v>
      </c>
      <c r="B285">
        <v>13</v>
      </c>
      <c r="C285" t="s">
        <v>647</v>
      </c>
      <c r="D285" t="s">
        <v>650</v>
      </c>
    </row>
    <row r="286" spans="1:6" x14ac:dyDescent="0.3">
      <c r="A286" s="3" t="s">
        <v>117</v>
      </c>
      <c r="B286">
        <v>18</v>
      </c>
      <c r="C286" t="s">
        <v>647</v>
      </c>
    </row>
    <row r="287" spans="1:6" x14ac:dyDescent="0.3">
      <c r="A287" t="s">
        <v>461</v>
      </c>
      <c r="B287">
        <v>2</v>
      </c>
      <c r="C287" t="s">
        <v>647</v>
      </c>
      <c r="F287">
        <v>1</v>
      </c>
    </row>
    <row r="288" spans="1:6" x14ac:dyDescent="0.3">
      <c r="A288" t="s">
        <v>91</v>
      </c>
      <c r="B288">
        <v>4</v>
      </c>
      <c r="C288" t="s">
        <v>647</v>
      </c>
    </row>
    <row r="289" spans="1:6" x14ac:dyDescent="0.3">
      <c r="A289" s="3" t="s">
        <v>70</v>
      </c>
      <c r="B289">
        <v>18</v>
      </c>
      <c r="C289" t="s">
        <v>647</v>
      </c>
    </row>
    <row r="290" spans="1:6" x14ac:dyDescent="0.3">
      <c r="A290" s="3" t="s">
        <v>61</v>
      </c>
      <c r="B290">
        <v>18</v>
      </c>
      <c r="C290" t="s">
        <v>647</v>
      </c>
    </row>
    <row r="291" spans="1:6" x14ac:dyDescent="0.3">
      <c r="A291" t="s">
        <v>267</v>
      </c>
      <c r="B291">
        <v>11</v>
      </c>
      <c r="C291" t="s">
        <v>651</v>
      </c>
      <c r="D291" t="s">
        <v>652</v>
      </c>
      <c r="F291">
        <v>1</v>
      </c>
    </row>
    <row r="292" spans="1:6" x14ac:dyDescent="0.3">
      <c r="A292" t="s">
        <v>293</v>
      </c>
      <c r="B292">
        <v>3</v>
      </c>
      <c r="C292" t="s">
        <v>651</v>
      </c>
      <c r="D292" s="1"/>
    </row>
    <row r="293" spans="1:6" x14ac:dyDescent="0.3">
      <c r="A293" t="s">
        <v>44</v>
      </c>
      <c r="B293">
        <v>18</v>
      </c>
      <c r="C293" t="s">
        <v>651</v>
      </c>
      <c r="E293" s="2">
        <v>3</v>
      </c>
      <c r="F293">
        <v>3</v>
      </c>
    </row>
    <row r="294" spans="1:6" x14ac:dyDescent="0.3">
      <c r="A294" t="s">
        <v>126</v>
      </c>
      <c r="B294">
        <v>7</v>
      </c>
      <c r="C294" t="s">
        <v>651</v>
      </c>
    </row>
    <row r="295" spans="1:6" x14ac:dyDescent="0.3">
      <c r="A295" t="s">
        <v>350</v>
      </c>
      <c r="B295">
        <v>8</v>
      </c>
      <c r="C295" t="s">
        <v>651</v>
      </c>
    </row>
    <row r="296" spans="1:6" x14ac:dyDescent="0.3">
      <c r="A296" t="s">
        <v>397</v>
      </c>
      <c r="B296">
        <v>8</v>
      </c>
      <c r="C296" t="s">
        <v>651</v>
      </c>
    </row>
    <row r="297" spans="1:6" x14ac:dyDescent="0.3">
      <c r="A297" t="s">
        <v>232</v>
      </c>
      <c r="B297">
        <v>18</v>
      </c>
      <c r="C297" t="s">
        <v>651</v>
      </c>
    </row>
    <row r="298" spans="1:6" x14ac:dyDescent="0.3">
      <c r="A298" t="s">
        <v>480</v>
      </c>
      <c r="B298">
        <v>2</v>
      </c>
      <c r="C298" t="s">
        <v>651</v>
      </c>
    </row>
    <row r="299" spans="1:6" x14ac:dyDescent="0.3">
      <c r="A299" s="3" t="s">
        <v>57</v>
      </c>
      <c r="B299">
        <v>18</v>
      </c>
      <c r="C299" t="s">
        <v>651</v>
      </c>
      <c r="E299" s="2">
        <v>1</v>
      </c>
      <c r="F299">
        <v>2</v>
      </c>
    </row>
    <row r="300" spans="1:6" x14ac:dyDescent="0.3">
      <c r="A300" t="s">
        <v>446</v>
      </c>
      <c r="B300">
        <v>9</v>
      </c>
      <c r="C300" t="s">
        <v>651</v>
      </c>
    </row>
    <row r="301" spans="1:6" x14ac:dyDescent="0.3">
      <c r="A301" t="s">
        <v>272</v>
      </c>
      <c r="B301">
        <v>18</v>
      </c>
      <c r="C301" t="s">
        <v>651</v>
      </c>
    </row>
    <row r="302" spans="1:6" x14ac:dyDescent="0.3">
      <c r="A302" t="s">
        <v>525</v>
      </c>
      <c r="B302">
        <v>8</v>
      </c>
      <c r="C302" t="s">
        <v>651</v>
      </c>
    </row>
    <row r="303" spans="1:6" x14ac:dyDescent="0.3">
      <c r="A303" s="3" t="s">
        <v>283</v>
      </c>
      <c r="B303">
        <v>16</v>
      </c>
      <c r="C303" t="s">
        <v>651</v>
      </c>
    </row>
    <row r="304" spans="1:6" x14ac:dyDescent="0.3">
      <c r="A304" t="s">
        <v>274</v>
      </c>
      <c r="B304">
        <v>11</v>
      </c>
      <c r="C304" t="s">
        <v>651</v>
      </c>
      <c r="D304" t="s">
        <v>653</v>
      </c>
    </row>
    <row r="305" spans="1:6" x14ac:dyDescent="0.3">
      <c r="A305" s="4" t="s">
        <v>84</v>
      </c>
      <c r="B305">
        <v>13</v>
      </c>
      <c r="C305" t="s">
        <v>651</v>
      </c>
      <c r="D305" t="s">
        <v>654</v>
      </c>
      <c r="E305" s="2">
        <v>2</v>
      </c>
    </row>
    <row r="306" spans="1:6" x14ac:dyDescent="0.3">
      <c r="A306" s="4" t="s">
        <v>120</v>
      </c>
      <c r="B306">
        <v>14</v>
      </c>
      <c r="C306" t="s">
        <v>651</v>
      </c>
      <c r="D306" t="s">
        <v>655</v>
      </c>
    </row>
    <row r="307" spans="1:6" x14ac:dyDescent="0.3">
      <c r="A307" t="s">
        <v>502</v>
      </c>
      <c r="B307">
        <v>3</v>
      </c>
      <c r="C307" t="s">
        <v>651</v>
      </c>
    </row>
    <row r="308" spans="1:6" x14ac:dyDescent="0.3">
      <c r="A308" t="s">
        <v>406</v>
      </c>
      <c r="B308">
        <v>16</v>
      </c>
      <c r="C308" t="s">
        <v>651</v>
      </c>
      <c r="D308" t="s">
        <v>656</v>
      </c>
    </row>
    <row r="309" spans="1:6" x14ac:dyDescent="0.3">
      <c r="B309">
        <v>4</v>
      </c>
      <c r="C309" t="s">
        <v>651</v>
      </c>
      <c r="D309" s="1" t="s">
        <v>657</v>
      </c>
    </row>
    <row r="310" spans="1:6" x14ac:dyDescent="0.3">
      <c r="A310" s="3" t="s">
        <v>148</v>
      </c>
      <c r="B310">
        <v>2</v>
      </c>
      <c r="C310" t="s">
        <v>658</v>
      </c>
    </row>
    <row r="311" spans="1:6" x14ac:dyDescent="0.3">
      <c r="A311" s="3" t="s">
        <v>242</v>
      </c>
      <c r="B311">
        <v>18</v>
      </c>
      <c r="C311" t="s">
        <v>658</v>
      </c>
    </row>
    <row r="312" spans="1:6" x14ac:dyDescent="0.3">
      <c r="A312" s="3" t="s">
        <v>137</v>
      </c>
      <c r="B312">
        <v>16</v>
      </c>
      <c r="C312" t="s">
        <v>658</v>
      </c>
      <c r="D312" t="s">
        <v>659</v>
      </c>
    </row>
    <row r="313" spans="1:6" x14ac:dyDescent="0.3">
      <c r="A313" t="s">
        <v>254</v>
      </c>
      <c r="B313">
        <v>15</v>
      </c>
      <c r="C313" t="s">
        <v>658</v>
      </c>
      <c r="D313" t="s">
        <v>660</v>
      </c>
    </row>
    <row r="314" spans="1:6" x14ac:dyDescent="0.3">
      <c r="A314" t="s">
        <v>388</v>
      </c>
      <c r="B314">
        <v>12</v>
      </c>
      <c r="C314" t="s">
        <v>658</v>
      </c>
    </row>
    <row r="315" spans="1:6" x14ac:dyDescent="0.3">
      <c r="A315" t="s">
        <v>354</v>
      </c>
      <c r="B315">
        <v>18</v>
      </c>
      <c r="C315" t="s">
        <v>658</v>
      </c>
    </row>
    <row r="316" spans="1:6" x14ac:dyDescent="0.3">
      <c r="A316" t="s">
        <v>289</v>
      </c>
      <c r="B316">
        <v>13</v>
      </c>
      <c r="C316" t="s">
        <v>658</v>
      </c>
    </row>
    <row r="317" spans="1:6" x14ac:dyDescent="0.3">
      <c r="A317" t="s">
        <v>297</v>
      </c>
      <c r="B317">
        <v>7</v>
      </c>
      <c r="C317" t="s">
        <v>658</v>
      </c>
      <c r="F317">
        <v>1</v>
      </c>
    </row>
    <row r="318" spans="1:6" x14ac:dyDescent="0.3">
      <c r="A318" t="s">
        <v>384</v>
      </c>
      <c r="B318">
        <v>3</v>
      </c>
      <c r="C318" t="s">
        <v>658</v>
      </c>
    </row>
    <row r="319" spans="1:6" x14ac:dyDescent="0.3">
      <c r="A319" t="s">
        <v>257</v>
      </c>
      <c r="B319">
        <v>11</v>
      </c>
      <c r="C319" t="s">
        <v>658</v>
      </c>
    </row>
    <row r="320" spans="1:6" x14ac:dyDescent="0.3">
      <c r="A320" t="s">
        <v>537</v>
      </c>
      <c r="B320">
        <v>6</v>
      </c>
      <c r="C320" t="s">
        <v>658</v>
      </c>
    </row>
    <row r="321" spans="1:6" x14ac:dyDescent="0.3">
      <c r="A321" t="s">
        <v>333</v>
      </c>
      <c r="B321">
        <v>2</v>
      </c>
      <c r="C321" t="s">
        <v>658</v>
      </c>
      <c r="D321" s="1"/>
    </row>
    <row r="322" spans="1:6" x14ac:dyDescent="0.3">
      <c r="A322" t="s">
        <v>165</v>
      </c>
      <c r="B322">
        <v>12</v>
      </c>
      <c r="C322" t="s">
        <v>658</v>
      </c>
      <c r="F322">
        <v>2</v>
      </c>
    </row>
    <row r="323" spans="1:6" x14ac:dyDescent="0.3">
      <c r="A323" t="s">
        <v>551</v>
      </c>
      <c r="B323">
        <v>10</v>
      </c>
      <c r="C323" t="s">
        <v>658</v>
      </c>
    </row>
    <row r="324" spans="1:6" x14ac:dyDescent="0.3">
      <c r="A324" t="s">
        <v>312</v>
      </c>
      <c r="B324">
        <v>18</v>
      </c>
      <c r="C324" t="s">
        <v>658</v>
      </c>
    </row>
    <row r="325" spans="1:6" x14ac:dyDescent="0.3">
      <c r="A325" s="3" t="s">
        <v>63</v>
      </c>
      <c r="B325">
        <v>19</v>
      </c>
      <c r="C325" t="s">
        <v>658</v>
      </c>
      <c r="E325" s="2">
        <v>1</v>
      </c>
    </row>
    <row r="326" spans="1:6" x14ac:dyDescent="0.3">
      <c r="A326" t="s">
        <v>65</v>
      </c>
      <c r="B326">
        <v>18</v>
      </c>
      <c r="C326" t="s">
        <v>658</v>
      </c>
      <c r="E326" s="2">
        <v>3</v>
      </c>
      <c r="F326">
        <v>3</v>
      </c>
    </row>
    <row r="327" spans="1:6" x14ac:dyDescent="0.3">
      <c r="A327" t="s">
        <v>241</v>
      </c>
      <c r="B327">
        <v>1</v>
      </c>
      <c r="C327" t="s">
        <v>658</v>
      </c>
    </row>
    <row r="328" spans="1:6" x14ac:dyDescent="0.3">
      <c r="B328">
        <v>2</v>
      </c>
      <c r="C328" t="s">
        <v>658</v>
      </c>
      <c r="D328" s="1" t="s">
        <v>661</v>
      </c>
    </row>
    <row r="329" spans="1:6" x14ac:dyDescent="0.3">
      <c r="B329">
        <v>2</v>
      </c>
      <c r="C329" t="s">
        <v>658</v>
      </c>
      <c r="D329" s="1" t="s">
        <v>662</v>
      </c>
    </row>
    <row r="330" spans="1:6" x14ac:dyDescent="0.3">
      <c r="A330" t="s">
        <v>496</v>
      </c>
      <c r="B330">
        <v>1</v>
      </c>
      <c r="C330" t="s">
        <v>663</v>
      </c>
    </row>
    <row r="331" spans="1:6" x14ac:dyDescent="0.3">
      <c r="A331" s="3" t="s">
        <v>399</v>
      </c>
      <c r="B331">
        <v>16</v>
      </c>
      <c r="C331" t="s">
        <v>663</v>
      </c>
      <c r="D331" t="s">
        <v>664</v>
      </c>
    </row>
    <row r="332" spans="1:6" x14ac:dyDescent="0.3">
      <c r="A332" s="3" t="s">
        <v>41</v>
      </c>
      <c r="B332">
        <v>19</v>
      </c>
      <c r="C332" t="s">
        <v>663</v>
      </c>
      <c r="E332" s="2">
        <v>3</v>
      </c>
    </row>
    <row r="333" spans="1:6" x14ac:dyDescent="0.3">
      <c r="A333" s="3" t="s">
        <v>119</v>
      </c>
      <c r="B333">
        <v>19</v>
      </c>
      <c r="C333" t="s">
        <v>663</v>
      </c>
      <c r="D333" t="s">
        <v>665</v>
      </c>
      <c r="F333">
        <v>2</v>
      </c>
    </row>
    <row r="334" spans="1:6" x14ac:dyDescent="0.3">
      <c r="A334" t="s">
        <v>407</v>
      </c>
      <c r="B334">
        <v>18</v>
      </c>
      <c r="C334" t="s">
        <v>663</v>
      </c>
    </row>
    <row r="335" spans="1:6" x14ac:dyDescent="0.3">
      <c r="A335" t="s">
        <v>359</v>
      </c>
      <c r="B335">
        <v>18</v>
      </c>
      <c r="C335" t="s">
        <v>663</v>
      </c>
    </row>
    <row r="336" spans="1:6" x14ac:dyDescent="0.3">
      <c r="A336" t="s">
        <v>222</v>
      </c>
      <c r="B336">
        <v>18</v>
      </c>
      <c r="C336" t="s">
        <v>663</v>
      </c>
    </row>
    <row r="337" spans="1:6" x14ac:dyDescent="0.3">
      <c r="A337" t="s">
        <v>330</v>
      </c>
      <c r="B337">
        <v>6</v>
      </c>
      <c r="C337" t="s">
        <v>663</v>
      </c>
    </row>
    <row r="338" spans="1:6" x14ac:dyDescent="0.3">
      <c r="A338" t="s">
        <v>163</v>
      </c>
      <c r="B338">
        <v>18</v>
      </c>
      <c r="C338" t="s">
        <v>663</v>
      </c>
    </row>
    <row r="339" spans="1:6" x14ac:dyDescent="0.3">
      <c r="A339" t="s">
        <v>263</v>
      </c>
      <c r="B339">
        <v>6</v>
      </c>
      <c r="C339" t="s">
        <v>663</v>
      </c>
      <c r="D339" t="s">
        <v>666</v>
      </c>
    </row>
    <row r="340" spans="1:6" x14ac:dyDescent="0.3">
      <c r="A340" s="3" t="s">
        <v>109</v>
      </c>
      <c r="B340">
        <v>18</v>
      </c>
      <c r="C340" t="s">
        <v>663</v>
      </c>
      <c r="E340" s="2">
        <v>2</v>
      </c>
    </row>
    <row r="341" spans="1:6" x14ac:dyDescent="0.3">
      <c r="A341" t="s">
        <v>194</v>
      </c>
      <c r="B341">
        <v>12</v>
      </c>
      <c r="C341" t="s">
        <v>663</v>
      </c>
      <c r="F341">
        <v>1</v>
      </c>
    </row>
    <row r="342" spans="1:6" x14ac:dyDescent="0.3">
      <c r="A342" s="3" t="s">
        <v>234</v>
      </c>
      <c r="B342">
        <v>18</v>
      </c>
      <c r="C342" t="s">
        <v>663</v>
      </c>
    </row>
    <row r="343" spans="1:6" x14ac:dyDescent="0.3">
      <c r="A343" s="3" t="s">
        <v>50</v>
      </c>
      <c r="B343">
        <v>19</v>
      </c>
      <c r="C343" t="s">
        <v>663</v>
      </c>
      <c r="E343" s="2">
        <v>1</v>
      </c>
      <c r="F343">
        <v>3</v>
      </c>
    </row>
    <row r="344" spans="1:6" x14ac:dyDescent="0.3">
      <c r="A344" t="s">
        <v>401</v>
      </c>
      <c r="B344">
        <v>1</v>
      </c>
      <c r="C344" t="s">
        <v>663</v>
      </c>
    </row>
    <row r="345" spans="1:6" x14ac:dyDescent="0.3">
      <c r="A345" t="s">
        <v>93</v>
      </c>
      <c r="B345">
        <v>19</v>
      </c>
      <c r="C345" t="s">
        <v>667</v>
      </c>
      <c r="D345" t="s">
        <v>668</v>
      </c>
      <c r="E345" s="2">
        <v>3</v>
      </c>
    </row>
    <row r="346" spans="1:6" x14ac:dyDescent="0.3">
      <c r="A346" s="3" t="s">
        <v>226</v>
      </c>
      <c r="B346">
        <v>19</v>
      </c>
      <c r="C346" t="s">
        <v>667</v>
      </c>
    </row>
    <row r="347" spans="1:6" x14ac:dyDescent="0.3">
      <c r="A347" t="s">
        <v>308</v>
      </c>
      <c r="B347">
        <v>18</v>
      </c>
      <c r="C347" t="s">
        <v>667</v>
      </c>
    </row>
    <row r="348" spans="1:6" x14ac:dyDescent="0.3">
      <c r="A348" t="s">
        <v>301</v>
      </c>
      <c r="B348">
        <v>19</v>
      </c>
      <c r="C348" t="s">
        <v>667</v>
      </c>
      <c r="F348">
        <v>3</v>
      </c>
    </row>
    <row r="349" spans="1:6" x14ac:dyDescent="0.3">
      <c r="A349" t="s">
        <v>361</v>
      </c>
      <c r="B349">
        <v>15</v>
      </c>
      <c r="C349" t="s">
        <v>667</v>
      </c>
    </row>
    <row r="350" spans="1:6" x14ac:dyDescent="0.3">
      <c r="A350" t="s">
        <v>429</v>
      </c>
      <c r="B350">
        <v>10</v>
      </c>
      <c r="C350" t="s">
        <v>667</v>
      </c>
    </row>
    <row r="351" spans="1:6" x14ac:dyDescent="0.3">
      <c r="A351" t="s">
        <v>386</v>
      </c>
      <c r="B351">
        <v>5</v>
      </c>
      <c r="C351" t="s">
        <v>667</v>
      </c>
      <c r="D351" t="s">
        <v>669</v>
      </c>
    </row>
    <row r="352" spans="1:6" x14ac:dyDescent="0.3">
      <c r="A352" t="s">
        <v>358</v>
      </c>
      <c r="B352">
        <v>13</v>
      </c>
      <c r="C352" t="s">
        <v>667</v>
      </c>
      <c r="D352" t="s">
        <v>670</v>
      </c>
    </row>
    <row r="353" spans="1:6" x14ac:dyDescent="0.3">
      <c r="A353" t="s">
        <v>351</v>
      </c>
      <c r="B353">
        <v>13</v>
      </c>
      <c r="C353" t="s">
        <v>667</v>
      </c>
    </row>
    <row r="354" spans="1:6" x14ac:dyDescent="0.3">
      <c r="A354" t="s">
        <v>294</v>
      </c>
      <c r="B354">
        <v>7</v>
      </c>
      <c r="C354" t="s">
        <v>667</v>
      </c>
      <c r="F354">
        <v>1</v>
      </c>
    </row>
    <row r="355" spans="1:6" x14ac:dyDescent="0.3">
      <c r="A355" t="s">
        <v>217</v>
      </c>
      <c r="B355">
        <v>4</v>
      </c>
      <c r="C355" t="s">
        <v>667</v>
      </c>
      <c r="E355" s="2">
        <v>2</v>
      </c>
    </row>
    <row r="356" spans="1:6" x14ac:dyDescent="0.3">
      <c r="A356" t="s">
        <v>428</v>
      </c>
      <c r="B356">
        <v>18</v>
      </c>
      <c r="C356" t="s">
        <v>667</v>
      </c>
    </row>
    <row r="357" spans="1:6" x14ac:dyDescent="0.3">
      <c r="A357" t="s">
        <v>303</v>
      </c>
      <c r="B357">
        <v>11</v>
      </c>
      <c r="C357" t="s">
        <v>667</v>
      </c>
    </row>
    <row r="358" spans="1:6" x14ac:dyDescent="0.3">
      <c r="A358" s="3" t="s">
        <v>320</v>
      </c>
      <c r="B358">
        <v>17</v>
      </c>
      <c r="C358" t="s">
        <v>667</v>
      </c>
    </row>
    <row r="359" spans="1:6" x14ac:dyDescent="0.3">
      <c r="A359" t="s">
        <v>430</v>
      </c>
      <c r="B359">
        <v>2</v>
      </c>
      <c r="C359" t="s">
        <v>667</v>
      </c>
    </row>
    <row r="360" spans="1:6" x14ac:dyDescent="0.3">
      <c r="A360" s="3" t="s">
        <v>164</v>
      </c>
      <c r="B360">
        <v>16</v>
      </c>
      <c r="C360" t="s">
        <v>667</v>
      </c>
      <c r="F360">
        <v>2</v>
      </c>
    </row>
    <row r="361" spans="1:6" x14ac:dyDescent="0.3">
      <c r="A361" t="s">
        <v>552</v>
      </c>
      <c r="B361">
        <v>1</v>
      </c>
      <c r="C361" t="s">
        <v>667</v>
      </c>
      <c r="D361" t="s">
        <v>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6A5A-7B2E-4220-96D8-BD265B8175C3}">
  <dimension ref="A1:F63"/>
  <sheetViews>
    <sheetView workbookViewId="0">
      <selection activeCell="F1" sqref="F1:F12"/>
    </sheetView>
  </sheetViews>
  <sheetFormatPr defaultRowHeight="14.4" x14ac:dyDescent="0.3"/>
  <cols>
    <col min="1" max="1" width="23.33203125" customWidth="1"/>
  </cols>
  <sheetData>
    <row r="1" spans="1:6" x14ac:dyDescent="0.3">
      <c r="A1" t="s">
        <v>70</v>
      </c>
      <c r="B1" t="s">
        <v>11</v>
      </c>
      <c r="C1">
        <v>27</v>
      </c>
      <c r="D1" t="s">
        <v>71</v>
      </c>
      <c r="E1" t="s">
        <v>72</v>
      </c>
      <c r="F1">
        <v>33</v>
      </c>
    </row>
    <row r="2" spans="1:6" x14ac:dyDescent="0.3">
      <c r="A2" t="s">
        <v>76</v>
      </c>
      <c r="B2" t="s">
        <v>7</v>
      </c>
      <c r="C2">
        <v>28</v>
      </c>
      <c r="D2" t="s">
        <v>71</v>
      </c>
      <c r="E2" t="s">
        <v>72</v>
      </c>
      <c r="F2">
        <v>32</v>
      </c>
    </row>
    <row r="3" spans="1:6" x14ac:dyDescent="0.3">
      <c r="A3" t="s">
        <v>89</v>
      </c>
      <c r="B3" t="s">
        <v>19</v>
      </c>
      <c r="C3">
        <v>31</v>
      </c>
      <c r="D3" t="s">
        <v>71</v>
      </c>
      <c r="E3" t="s">
        <v>72</v>
      </c>
      <c r="F3">
        <v>28</v>
      </c>
    </row>
    <row r="4" spans="1:6" x14ac:dyDescent="0.3">
      <c r="A4" t="s">
        <v>90</v>
      </c>
      <c r="B4" t="s">
        <v>29</v>
      </c>
      <c r="C4">
        <v>30</v>
      </c>
      <c r="D4" t="s">
        <v>71</v>
      </c>
      <c r="E4" t="s">
        <v>72</v>
      </c>
      <c r="F4">
        <v>28</v>
      </c>
    </row>
    <row r="5" spans="1:6" x14ac:dyDescent="0.3">
      <c r="A5" t="s">
        <v>97</v>
      </c>
      <c r="B5" t="s">
        <v>39</v>
      </c>
      <c r="C5">
        <v>26</v>
      </c>
      <c r="D5" t="s">
        <v>71</v>
      </c>
      <c r="E5" t="s">
        <v>72</v>
      </c>
      <c r="F5">
        <v>26</v>
      </c>
    </row>
    <row r="6" spans="1:6" x14ac:dyDescent="0.3">
      <c r="A6" t="s">
        <v>102</v>
      </c>
      <c r="B6" t="s">
        <v>25</v>
      </c>
      <c r="C6">
        <v>31</v>
      </c>
      <c r="D6" t="s">
        <v>71</v>
      </c>
      <c r="E6" t="s">
        <v>72</v>
      </c>
      <c r="F6">
        <v>25</v>
      </c>
    </row>
    <row r="7" spans="1:6" x14ac:dyDescent="0.3">
      <c r="A7" t="s">
        <v>112</v>
      </c>
      <c r="B7" t="s">
        <v>31</v>
      </c>
      <c r="C7">
        <v>36</v>
      </c>
      <c r="D7" t="s">
        <v>71</v>
      </c>
      <c r="E7" t="s">
        <v>72</v>
      </c>
      <c r="F7">
        <v>23</v>
      </c>
    </row>
    <row r="8" spans="1:6" x14ac:dyDescent="0.3">
      <c r="A8" t="s">
        <v>113</v>
      </c>
      <c r="B8" t="s">
        <v>14</v>
      </c>
      <c r="C8">
        <v>29</v>
      </c>
      <c r="D8" t="s">
        <v>71</v>
      </c>
      <c r="E8" t="s">
        <v>72</v>
      </c>
      <c r="F8">
        <v>23</v>
      </c>
    </row>
    <row r="9" spans="1:6" x14ac:dyDescent="0.3">
      <c r="A9" t="s">
        <v>139</v>
      </c>
      <c r="B9" t="s">
        <v>33</v>
      </c>
      <c r="C9">
        <v>35</v>
      </c>
      <c r="D9" t="s">
        <v>71</v>
      </c>
      <c r="E9" t="s">
        <v>72</v>
      </c>
      <c r="F9">
        <v>19</v>
      </c>
    </row>
    <row r="10" spans="1:6" x14ac:dyDescent="0.3">
      <c r="A10" t="s">
        <v>162</v>
      </c>
      <c r="B10" t="s">
        <v>55</v>
      </c>
      <c r="C10">
        <v>25</v>
      </c>
      <c r="D10" t="s">
        <v>71</v>
      </c>
      <c r="E10" t="s">
        <v>72</v>
      </c>
      <c r="F10">
        <v>15</v>
      </c>
    </row>
    <row r="11" spans="1:6" x14ac:dyDescent="0.3">
      <c r="A11" t="s">
        <v>163</v>
      </c>
      <c r="B11" t="s">
        <v>42</v>
      </c>
      <c r="C11">
        <v>27</v>
      </c>
      <c r="D11" t="s">
        <v>71</v>
      </c>
      <c r="E11" t="s">
        <v>72</v>
      </c>
      <c r="F11">
        <v>15</v>
      </c>
    </row>
    <row r="12" spans="1:6" x14ac:dyDescent="0.3">
      <c r="A12" t="s">
        <v>176</v>
      </c>
      <c r="B12" t="s">
        <v>104</v>
      </c>
      <c r="C12">
        <v>25</v>
      </c>
      <c r="D12" t="s">
        <v>71</v>
      </c>
      <c r="E12" t="s">
        <v>72</v>
      </c>
      <c r="F12">
        <v>14</v>
      </c>
    </row>
    <row r="13" spans="1:6" x14ac:dyDescent="0.3">
      <c r="A13" t="s">
        <v>192</v>
      </c>
      <c r="B13" t="s">
        <v>178</v>
      </c>
      <c r="C13">
        <v>31</v>
      </c>
      <c r="D13" t="s">
        <v>71</v>
      </c>
      <c r="E13" t="s">
        <v>72</v>
      </c>
      <c r="F13">
        <v>13</v>
      </c>
    </row>
    <row r="14" spans="1:6" x14ac:dyDescent="0.3">
      <c r="A14" t="s">
        <v>259</v>
      </c>
      <c r="B14" t="s">
        <v>74</v>
      </c>
      <c r="C14">
        <v>28</v>
      </c>
      <c r="D14" t="s">
        <v>71</v>
      </c>
      <c r="E14" t="s">
        <v>72</v>
      </c>
      <c r="F14">
        <v>9</v>
      </c>
    </row>
    <row r="15" spans="1:6" x14ac:dyDescent="0.3">
      <c r="A15" t="s">
        <v>283</v>
      </c>
      <c r="B15" t="s">
        <v>45</v>
      </c>
      <c r="C15">
        <v>28</v>
      </c>
      <c r="D15" t="s">
        <v>71</v>
      </c>
      <c r="E15" t="s">
        <v>72</v>
      </c>
      <c r="F15">
        <v>8</v>
      </c>
    </row>
    <row r="16" spans="1:6" x14ac:dyDescent="0.3">
      <c r="A16" t="s">
        <v>320</v>
      </c>
      <c r="B16" t="s">
        <v>94</v>
      </c>
      <c r="C16">
        <v>24</v>
      </c>
      <c r="D16" t="s">
        <v>71</v>
      </c>
      <c r="E16" t="s">
        <v>72</v>
      </c>
      <c r="F16">
        <v>7</v>
      </c>
    </row>
    <row r="17" spans="1:6" x14ac:dyDescent="0.3">
      <c r="A17" t="s">
        <v>366</v>
      </c>
      <c r="B17" t="s">
        <v>142</v>
      </c>
      <c r="C17">
        <v>28</v>
      </c>
      <c r="D17" t="s">
        <v>71</v>
      </c>
      <c r="E17" t="s">
        <v>72</v>
      </c>
      <c r="F17">
        <v>6</v>
      </c>
    </row>
    <row r="18" spans="1:6" x14ac:dyDescent="0.3">
      <c r="A18" t="s">
        <v>408</v>
      </c>
      <c r="B18" t="s">
        <v>29</v>
      </c>
      <c r="C18">
        <v>29</v>
      </c>
      <c r="D18" t="s">
        <v>71</v>
      </c>
      <c r="E18" t="s">
        <v>72</v>
      </c>
      <c r="F18">
        <v>5</v>
      </c>
    </row>
    <row r="19" spans="1:6" x14ac:dyDescent="0.3">
      <c r="A19" t="s">
        <v>409</v>
      </c>
      <c r="B19" t="s">
        <v>14</v>
      </c>
      <c r="C19">
        <v>29</v>
      </c>
      <c r="D19" t="s">
        <v>71</v>
      </c>
      <c r="E19" t="s">
        <v>72</v>
      </c>
      <c r="F19">
        <v>5</v>
      </c>
    </row>
    <row r="20" spans="1:6" x14ac:dyDescent="0.3">
      <c r="A20" t="s">
        <v>436</v>
      </c>
      <c r="B20" t="s">
        <v>157</v>
      </c>
      <c r="C20">
        <v>23</v>
      </c>
      <c r="D20" t="s">
        <v>71</v>
      </c>
      <c r="E20" t="s">
        <v>72</v>
      </c>
      <c r="F20">
        <v>4</v>
      </c>
    </row>
    <row r="21" spans="1:6" x14ac:dyDescent="0.3">
      <c r="A21" t="s">
        <v>437</v>
      </c>
      <c r="B21" t="s">
        <v>157</v>
      </c>
      <c r="C21">
        <v>22</v>
      </c>
      <c r="D21" t="s">
        <v>71</v>
      </c>
      <c r="E21" t="s">
        <v>72</v>
      </c>
      <c r="F21">
        <v>4</v>
      </c>
    </row>
    <row r="22" spans="1:6" x14ac:dyDescent="0.3">
      <c r="A22" t="s">
        <v>464</v>
      </c>
      <c r="B22" t="s">
        <v>115</v>
      </c>
      <c r="C22">
        <v>22</v>
      </c>
      <c r="D22" t="s">
        <v>71</v>
      </c>
      <c r="E22" t="s">
        <v>72</v>
      </c>
      <c r="F22">
        <v>3</v>
      </c>
    </row>
    <row r="23" spans="1:6" x14ac:dyDescent="0.3">
      <c r="A23" t="s">
        <v>466</v>
      </c>
      <c r="B23" t="s">
        <v>29</v>
      </c>
      <c r="C23">
        <v>34</v>
      </c>
      <c r="D23" t="s">
        <v>71</v>
      </c>
      <c r="E23" t="s">
        <v>72</v>
      </c>
      <c r="F23">
        <v>3</v>
      </c>
    </row>
    <row r="24" spans="1:6" x14ac:dyDescent="0.3">
      <c r="A24" t="s">
        <v>465</v>
      </c>
      <c r="B24" t="s">
        <v>7</v>
      </c>
      <c r="C24">
        <v>32</v>
      </c>
      <c r="D24" t="s">
        <v>71</v>
      </c>
      <c r="E24" t="s">
        <v>72</v>
      </c>
      <c r="F24">
        <v>3</v>
      </c>
    </row>
    <row r="25" spans="1:6" x14ac:dyDescent="0.3">
      <c r="A25" t="s">
        <v>502</v>
      </c>
      <c r="B25" t="s">
        <v>45</v>
      </c>
      <c r="C25">
        <v>25</v>
      </c>
      <c r="D25" t="s">
        <v>71</v>
      </c>
      <c r="E25" t="s">
        <v>72</v>
      </c>
      <c r="F25">
        <v>2</v>
      </c>
    </row>
    <row r="26" spans="1:6" x14ac:dyDescent="0.3">
      <c r="A26" t="s">
        <v>554</v>
      </c>
      <c r="B26" t="s">
        <v>178</v>
      </c>
      <c r="C26">
        <v>31</v>
      </c>
      <c r="D26" t="s">
        <v>71</v>
      </c>
      <c r="E26" t="s">
        <v>72</v>
      </c>
      <c r="F26">
        <v>1</v>
      </c>
    </row>
    <row r="27" spans="1:6" x14ac:dyDescent="0.3">
      <c r="A27" t="s">
        <v>549</v>
      </c>
      <c r="B27" t="s">
        <v>31</v>
      </c>
      <c r="C27">
        <v>27</v>
      </c>
      <c r="D27" t="s">
        <v>71</v>
      </c>
      <c r="E27" t="s">
        <v>72</v>
      </c>
      <c r="F27">
        <v>1</v>
      </c>
    </row>
    <row r="28" spans="1:6" x14ac:dyDescent="0.3">
      <c r="A28" t="s">
        <v>555</v>
      </c>
      <c r="B28" t="s">
        <v>14</v>
      </c>
      <c r="C28">
        <v>30</v>
      </c>
      <c r="D28" t="s">
        <v>71</v>
      </c>
      <c r="E28" t="s">
        <v>72</v>
      </c>
      <c r="F28">
        <v>1</v>
      </c>
    </row>
    <row r="29" spans="1:6" x14ac:dyDescent="0.3">
      <c r="A29" t="s">
        <v>546</v>
      </c>
      <c r="B29" t="s">
        <v>115</v>
      </c>
      <c r="C29">
        <v>25</v>
      </c>
      <c r="D29" t="s">
        <v>71</v>
      </c>
      <c r="E29" t="s">
        <v>72</v>
      </c>
      <c r="F29">
        <v>1</v>
      </c>
    </row>
    <row r="30" spans="1:6" x14ac:dyDescent="0.3">
      <c r="A30" t="s">
        <v>542</v>
      </c>
      <c r="B30" t="s">
        <v>11</v>
      </c>
      <c r="C30">
        <v>19</v>
      </c>
      <c r="D30" t="s">
        <v>71</v>
      </c>
      <c r="E30" t="s">
        <v>72</v>
      </c>
      <c r="F30">
        <v>1</v>
      </c>
    </row>
    <row r="31" spans="1:6" x14ac:dyDescent="0.3">
      <c r="A31" t="s">
        <v>560</v>
      </c>
      <c r="B31" t="s">
        <v>7</v>
      </c>
      <c r="C31">
        <v>33</v>
      </c>
      <c r="D31" t="s">
        <v>71</v>
      </c>
      <c r="E31" t="s">
        <v>72</v>
      </c>
      <c r="F31">
        <v>1</v>
      </c>
    </row>
    <row r="32" spans="1:6" x14ac:dyDescent="0.3">
      <c r="A32" t="s">
        <v>561</v>
      </c>
      <c r="B32" t="s">
        <v>11</v>
      </c>
      <c r="C32">
        <v>31</v>
      </c>
      <c r="D32" t="s">
        <v>71</v>
      </c>
      <c r="E32" t="s">
        <v>72</v>
      </c>
      <c r="F32">
        <v>1</v>
      </c>
    </row>
    <row r="33" spans="1:6" x14ac:dyDescent="0.3">
      <c r="A33" t="s">
        <v>545</v>
      </c>
      <c r="B33" t="s">
        <v>94</v>
      </c>
      <c r="C33">
        <v>34</v>
      </c>
      <c r="D33" t="s">
        <v>71</v>
      </c>
      <c r="E33" t="s">
        <v>72</v>
      </c>
      <c r="F33">
        <v>1</v>
      </c>
    </row>
    <row r="34" spans="1:6" x14ac:dyDescent="0.3">
      <c r="A34" t="s">
        <v>533</v>
      </c>
      <c r="B34" t="s">
        <v>33</v>
      </c>
      <c r="C34">
        <v>19</v>
      </c>
      <c r="D34" t="s">
        <v>71</v>
      </c>
      <c r="E34" t="s">
        <v>72</v>
      </c>
      <c r="F34">
        <v>1</v>
      </c>
    </row>
    <row r="35" spans="1:6" x14ac:dyDescent="0.3">
      <c r="A35" t="s">
        <v>564</v>
      </c>
      <c r="B35" t="s">
        <v>31</v>
      </c>
      <c r="C35">
        <v>31</v>
      </c>
      <c r="D35" t="s">
        <v>71</v>
      </c>
      <c r="E35" t="s">
        <v>72</v>
      </c>
      <c r="F35">
        <v>1</v>
      </c>
    </row>
    <row r="36" spans="1:6" x14ac:dyDescent="0.3">
      <c r="A36" t="s">
        <v>536</v>
      </c>
      <c r="B36" t="s">
        <v>157</v>
      </c>
      <c r="C36">
        <v>22</v>
      </c>
      <c r="D36" t="s">
        <v>71</v>
      </c>
      <c r="E36" t="s">
        <v>72</v>
      </c>
      <c r="F36">
        <v>1</v>
      </c>
    </row>
    <row r="37" spans="1:6" x14ac:dyDescent="0.3">
      <c r="A37" t="s">
        <v>537</v>
      </c>
      <c r="B37" t="s">
        <v>64</v>
      </c>
      <c r="C37">
        <v>20</v>
      </c>
      <c r="D37" t="s">
        <v>71</v>
      </c>
      <c r="E37" t="s">
        <v>72</v>
      </c>
      <c r="F37">
        <v>1</v>
      </c>
    </row>
    <row r="38" spans="1:6" x14ac:dyDescent="0.3">
      <c r="A38" t="s">
        <v>552</v>
      </c>
      <c r="B38" t="s">
        <v>94</v>
      </c>
      <c r="C38">
        <v>30</v>
      </c>
      <c r="D38" t="s">
        <v>71</v>
      </c>
      <c r="E38" t="s">
        <v>72</v>
      </c>
      <c r="F38">
        <v>1</v>
      </c>
    </row>
    <row r="39" spans="1:6" x14ac:dyDescent="0.3">
      <c r="A39" t="s">
        <v>539</v>
      </c>
      <c r="B39" t="s">
        <v>55</v>
      </c>
      <c r="C39">
        <v>21</v>
      </c>
      <c r="D39" t="s">
        <v>71</v>
      </c>
      <c r="E39" t="s">
        <v>72</v>
      </c>
      <c r="F39">
        <v>1</v>
      </c>
    </row>
    <row r="40" spans="1:6" x14ac:dyDescent="0.3">
      <c r="A40" t="s">
        <v>562</v>
      </c>
      <c r="B40" t="s">
        <v>42</v>
      </c>
      <c r="C40">
        <v>41</v>
      </c>
      <c r="D40" t="s">
        <v>71</v>
      </c>
      <c r="E40" t="s">
        <v>72</v>
      </c>
      <c r="F40">
        <v>1</v>
      </c>
    </row>
    <row r="41" spans="1:6" x14ac:dyDescent="0.3">
      <c r="A41" t="s">
        <v>551</v>
      </c>
      <c r="B41" t="s">
        <v>64</v>
      </c>
      <c r="C41">
        <v>34</v>
      </c>
      <c r="D41" t="s">
        <v>71</v>
      </c>
      <c r="E41" t="s">
        <v>72</v>
      </c>
      <c r="F41">
        <v>1</v>
      </c>
    </row>
    <row r="42" spans="1:6" x14ac:dyDescent="0.3">
      <c r="A42" t="s">
        <v>530</v>
      </c>
      <c r="B42" t="s">
        <v>178</v>
      </c>
      <c r="C42">
        <v>18</v>
      </c>
      <c r="D42" t="s">
        <v>71</v>
      </c>
      <c r="E42" t="s">
        <v>72</v>
      </c>
      <c r="F42">
        <v>1</v>
      </c>
    </row>
    <row r="43" spans="1:6" x14ac:dyDescent="0.3">
      <c r="A43" t="s">
        <v>541</v>
      </c>
      <c r="B43" t="s">
        <v>33</v>
      </c>
      <c r="C43">
        <v>19</v>
      </c>
      <c r="D43" t="s">
        <v>71</v>
      </c>
      <c r="E43" t="s">
        <v>72</v>
      </c>
      <c r="F43">
        <v>1</v>
      </c>
    </row>
    <row r="44" spans="1:6" x14ac:dyDescent="0.3">
      <c r="A44" t="s">
        <v>550</v>
      </c>
      <c r="B44" t="s">
        <v>42</v>
      </c>
      <c r="C44">
        <v>23</v>
      </c>
      <c r="D44" t="s">
        <v>71</v>
      </c>
      <c r="E44" t="s">
        <v>72</v>
      </c>
      <c r="F44">
        <v>1</v>
      </c>
    </row>
    <row r="45" spans="1:6" x14ac:dyDescent="0.3">
      <c r="A45" t="s">
        <v>559</v>
      </c>
      <c r="B45" t="s">
        <v>29</v>
      </c>
      <c r="C45">
        <v>36</v>
      </c>
      <c r="D45" t="s">
        <v>71</v>
      </c>
      <c r="E45" t="s">
        <v>72</v>
      </c>
      <c r="F45">
        <v>1</v>
      </c>
    </row>
    <row r="46" spans="1:6" x14ac:dyDescent="0.3">
      <c r="A46" t="s">
        <v>529</v>
      </c>
      <c r="B46" t="s">
        <v>157</v>
      </c>
      <c r="C46">
        <v>35</v>
      </c>
      <c r="D46" t="s">
        <v>71</v>
      </c>
      <c r="E46" t="s">
        <v>72</v>
      </c>
      <c r="F46">
        <v>1</v>
      </c>
    </row>
    <row r="47" spans="1:6" x14ac:dyDescent="0.3">
      <c r="A47" t="s">
        <v>544</v>
      </c>
      <c r="B47" t="s">
        <v>142</v>
      </c>
      <c r="C47">
        <v>25</v>
      </c>
      <c r="D47" t="s">
        <v>71</v>
      </c>
      <c r="E47" t="s">
        <v>72</v>
      </c>
      <c r="F47">
        <v>1</v>
      </c>
    </row>
    <row r="48" spans="1:6" x14ac:dyDescent="0.3">
      <c r="A48" t="s">
        <v>534</v>
      </c>
      <c r="B48" t="s">
        <v>94</v>
      </c>
      <c r="C48">
        <v>26</v>
      </c>
      <c r="D48" t="s">
        <v>71</v>
      </c>
      <c r="E48" t="s">
        <v>72</v>
      </c>
      <c r="F48">
        <v>1</v>
      </c>
    </row>
    <row r="49" spans="1:6" x14ac:dyDescent="0.3">
      <c r="A49" t="s">
        <v>566</v>
      </c>
      <c r="B49" t="s">
        <v>104</v>
      </c>
      <c r="C49">
        <v>30</v>
      </c>
      <c r="D49" t="s">
        <v>71</v>
      </c>
      <c r="E49" t="s">
        <v>72</v>
      </c>
      <c r="F49">
        <v>1</v>
      </c>
    </row>
    <row r="50" spans="1:6" x14ac:dyDescent="0.3">
      <c r="A50" t="s">
        <v>532</v>
      </c>
      <c r="B50" t="s">
        <v>55</v>
      </c>
      <c r="C50">
        <v>20</v>
      </c>
      <c r="D50" t="s">
        <v>71</v>
      </c>
      <c r="E50" t="s">
        <v>72</v>
      </c>
      <c r="F50">
        <v>1</v>
      </c>
    </row>
    <row r="51" spans="1:6" x14ac:dyDescent="0.3">
      <c r="A51" t="s">
        <v>553</v>
      </c>
      <c r="B51" t="s">
        <v>45</v>
      </c>
      <c r="C51">
        <v>25</v>
      </c>
      <c r="D51" t="s">
        <v>71</v>
      </c>
      <c r="E51" t="s">
        <v>72</v>
      </c>
      <c r="F51">
        <v>1</v>
      </c>
    </row>
    <row r="52" spans="1:6" x14ac:dyDescent="0.3">
      <c r="A52" t="s">
        <v>558</v>
      </c>
      <c r="B52" t="s">
        <v>45</v>
      </c>
      <c r="C52">
        <v>27</v>
      </c>
      <c r="D52" t="s">
        <v>71</v>
      </c>
      <c r="E52" t="s">
        <v>72</v>
      </c>
      <c r="F52">
        <v>1</v>
      </c>
    </row>
    <row r="53" spans="1:6" x14ac:dyDescent="0.3">
      <c r="A53" t="s">
        <v>547</v>
      </c>
      <c r="B53" t="s">
        <v>104</v>
      </c>
      <c r="C53">
        <v>29</v>
      </c>
      <c r="D53" t="s">
        <v>71</v>
      </c>
      <c r="E53" t="s">
        <v>72</v>
      </c>
      <c r="F53">
        <v>1</v>
      </c>
    </row>
    <row r="54" spans="1:6" x14ac:dyDescent="0.3">
      <c r="A54" t="s">
        <v>538</v>
      </c>
      <c r="B54" t="s">
        <v>64</v>
      </c>
      <c r="C54">
        <v>20</v>
      </c>
      <c r="D54" t="s">
        <v>71</v>
      </c>
      <c r="E54" t="s">
        <v>72</v>
      </c>
      <c r="F54">
        <v>1</v>
      </c>
    </row>
    <row r="55" spans="1:6" x14ac:dyDescent="0.3">
      <c r="A55" t="s">
        <v>563</v>
      </c>
      <c r="B55" t="s">
        <v>74</v>
      </c>
      <c r="C55">
        <v>29</v>
      </c>
      <c r="D55" t="s">
        <v>71</v>
      </c>
      <c r="E55" t="s">
        <v>72</v>
      </c>
      <c r="F55">
        <v>1</v>
      </c>
    </row>
    <row r="56" spans="1:6" x14ac:dyDescent="0.3">
      <c r="A56" t="s">
        <v>565</v>
      </c>
      <c r="B56" t="s">
        <v>39</v>
      </c>
      <c r="C56">
        <v>34</v>
      </c>
      <c r="D56" t="s">
        <v>71</v>
      </c>
      <c r="E56" t="s">
        <v>72</v>
      </c>
      <c r="F56">
        <v>1</v>
      </c>
    </row>
    <row r="57" spans="1:6" x14ac:dyDescent="0.3">
      <c r="A57" t="s">
        <v>548</v>
      </c>
      <c r="B57" t="s">
        <v>74</v>
      </c>
      <c r="C57">
        <v>25</v>
      </c>
      <c r="D57" t="s">
        <v>71</v>
      </c>
      <c r="E57" t="s">
        <v>72</v>
      </c>
      <c r="F57">
        <v>1</v>
      </c>
    </row>
    <row r="58" spans="1:6" x14ac:dyDescent="0.3">
      <c r="A58" t="s">
        <v>535</v>
      </c>
      <c r="B58" t="s">
        <v>142</v>
      </c>
      <c r="C58">
        <v>19</v>
      </c>
      <c r="D58" t="s">
        <v>71</v>
      </c>
      <c r="E58" t="s">
        <v>72</v>
      </c>
      <c r="F58">
        <v>1</v>
      </c>
    </row>
    <row r="59" spans="1:6" x14ac:dyDescent="0.3">
      <c r="A59" t="s">
        <v>556</v>
      </c>
      <c r="B59" t="s">
        <v>25</v>
      </c>
      <c r="C59">
        <v>36</v>
      </c>
      <c r="D59" t="s">
        <v>71</v>
      </c>
      <c r="E59" t="s">
        <v>72</v>
      </c>
      <c r="F59">
        <v>1</v>
      </c>
    </row>
    <row r="60" spans="1:6" x14ac:dyDescent="0.3">
      <c r="A60" t="s">
        <v>540</v>
      </c>
      <c r="B60" t="s">
        <v>19</v>
      </c>
      <c r="C60">
        <v>24</v>
      </c>
      <c r="D60" t="s">
        <v>71</v>
      </c>
      <c r="E60" t="s">
        <v>72</v>
      </c>
      <c r="F60">
        <v>1</v>
      </c>
    </row>
    <row r="61" spans="1:6" x14ac:dyDescent="0.3">
      <c r="A61" t="s">
        <v>543</v>
      </c>
      <c r="B61" t="s">
        <v>25</v>
      </c>
      <c r="C61">
        <v>21</v>
      </c>
      <c r="D61" t="s">
        <v>71</v>
      </c>
      <c r="E61" t="s">
        <v>72</v>
      </c>
      <c r="F61">
        <v>1</v>
      </c>
    </row>
    <row r="62" spans="1:6" x14ac:dyDescent="0.3">
      <c r="A62" t="s">
        <v>557</v>
      </c>
      <c r="B62" t="s">
        <v>19</v>
      </c>
      <c r="C62">
        <v>36</v>
      </c>
      <c r="D62" t="s">
        <v>71</v>
      </c>
      <c r="E62" t="s">
        <v>72</v>
      </c>
      <c r="F62">
        <v>1</v>
      </c>
    </row>
    <row r="63" spans="1:6" x14ac:dyDescent="0.3">
      <c r="A63" t="s">
        <v>531</v>
      </c>
      <c r="B63" t="s">
        <v>39</v>
      </c>
      <c r="C63">
        <v>23</v>
      </c>
      <c r="D63" t="s">
        <v>71</v>
      </c>
      <c r="E63" t="s">
        <v>72</v>
      </c>
      <c r="F63">
        <v>1</v>
      </c>
    </row>
  </sheetData>
  <sortState xmlns:xlrd2="http://schemas.microsoft.com/office/spreadsheetml/2017/richdata2" ref="A1:F63">
    <sortCondition descending="1" ref="F1:F6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9BD5-E5B5-4543-A0D8-5F823AFD16EF}">
  <dimension ref="A1:T180"/>
  <sheetViews>
    <sheetView workbookViewId="0">
      <selection activeCell="T7" sqref="T7"/>
    </sheetView>
  </sheetViews>
  <sheetFormatPr defaultRowHeight="14.4" x14ac:dyDescent="0.3"/>
  <cols>
    <col min="1" max="1" width="22.33203125" customWidth="1"/>
    <col min="7" max="7" width="0.88671875" style="8" customWidth="1"/>
    <col min="8" max="8" width="8.88671875" style="6"/>
    <col min="9" max="9" width="13.88671875" customWidth="1"/>
    <col min="10" max="10" width="11.33203125" customWidth="1"/>
    <col min="11" max="11" width="1.109375" style="8" customWidth="1"/>
    <col min="12" max="15" width="8.88671875" style="2"/>
    <col min="17" max="17" width="0.88671875" customWidth="1"/>
    <col min="18" max="18" width="25.88671875" customWidth="1"/>
    <col min="19" max="19" width="1.21875" customWidth="1"/>
    <col min="20" max="20" width="27.21875" customWidth="1"/>
  </cols>
  <sheetData>
    <row r="1" spans="1:20" x14ac:dyDescent="0.3">
      <c r="A1" s="1" t="s">
        <v>677</v>
      </c>
      <c r="B1" s="1" t="s">
        <v>676</v>
      </c>
      <c r="C1" s="1" t="s">
        <v>675</v>
      </c>
      <c r="D1" s="1" t="s">
        <v>674</v>
      </c>
      <c r="E1" s="1" t="s">
        <v>673</v>
      </c>
      <c r="F1" s="1" t="s">
        <v>672</v>
      </c>
      <c r="G1" s="7"/>
      <c r="H1" s="6" t="s">
        <v>678</v>
      </c>
      <c r="I1" s="1" t="s">
        <v>679</v>
      </c>
      <c r="J1" s="1" t="s">
        <v>680</v>
      </c>
      <c r="L1" s="9" t="s">
        <v>681</v>
      </c>
      <c r="M1" s="9" t="s">
        <v>682</v>
      </c>
      <c r="N1" s="9" t="s">
        <v>683</v>
      </c>
      <c r="O1" s="9" t="s">
        <v>684</v>
      </c>
      <c r="R1" s="11" t="s">
        <v>15</v>
      </c>
      <c r="T1" s="12" t="s">
        <v>109</v>
      </c>
    </row>
    <row r="2" spans="1:20" x14ac:dyDescent="0.3">
      <c r="R2" s="11" t="s">
        <v>59</v>
      </c>
      <c r="T2" s="12" t="s">
        <v>707</v>
      </c>
    </row>
    <row r="3" spans="1:20" x14ac:dyDescent="0.3">
      <c r="A3" s="10" t="s">
        <v>15</v>
      </c>
      <c r="B3" t="s">
        <v>7</v>
      </c>
      <c r="C3">
        <v>29</v>
      </c>
      <c r="D3" t="s">
        <v>16</v>
      </c>
      <c r="E3" t="s">
        <v>17</v>
      </c>
      <c r="F3">
        <v>133</v>
      </c>
      <c r="G3" s="8">
        <v>0</v>
      </c>
      <c r="H3" s="6">
        <f>_xlfn.XLOOKUP(A3,Foglio6!A:A,Foglio6!B:B,0)</f>
        <v>19</v>
      </c>
      <c r="I3">
        <f>SUM(_xlfn.XLOOKUP(A3,Foglio6!A:A,Foglio6!E:E,0),_xlfn.XLOOKUP(A3,Foglio6!A:A,Foglio6!F:F,0))</f>
        <v>2</v>
      </c>
      <c r="J3">
        <v>0</v>
      </c>
      <c r="K3" s="8">
        <v>0</v>
      </c>
      <c r="L3">
        <v>3</v>
      </c>
      <c r="M3" s="2">
        <v>1</v>
      </c>
      <c r="R3" s="11" t="s">
        <v>61</v>
      </c>
      <c r="T3" s="12" t="s">
        <v>708</v>
      </c>
    </row>
    <row r="4" spans="1:20" x14ac:dyDescent="0.3">
      <c r="A4" t="s">
        <v>251</v>
      </c>
      <c r="B4" t="s">
        <v>178</v>
      </c>
      <c r="C4">
        <v>22</v>
      </c>
      <c r="D4" t="s">
        <v>16</v>
      </c>
      <c r="E4" t="s">
        <v>88</v>
      </c>
      <c r="F4">
        <v>9</v>
      </c>
      <c r="H4" s="6">
        <f>_xlfn.XLOOKUP(A4,Foglio6!A:A,Foglio6!B:B,0)</f>
        <v>19</v>
      </c>
      <c r="I4">
        <f>SUM(_xlfn.XLOOKUP(A4,Foglio6!A:A,Foglio6!E:E,0),_xlfn.XLOOKUP(A4,Foglio6!A:A,Foglio6!F:F,0))</f>
        <v>0</v>
      </c>
      <c r="L4">
        <v>1</v>
      </c>
      <c r="R4" s="11" t="s">
        <v>87</v>
      </c>
      <c r="T4" s="12" t="s">
        <v>144</v>
      </c>
    </row>
    <row r="5" spans="1:20" x14ac:dyDescent="0.3">
      <c r="A5" s="10" t="s">
        <v>59</v>
      </c>
      <c r="B5" t="s">
        <v>11</v>
      </c>
      <c r="C5">
        <v>28</v>
      </c>
      <c r="D5" t="s">
        <v>16</v>
      </c>
      <c r="E5" t="s">
        <v>60</v>
      </c>
      <c r="F5">
        <v>44</v>
      </c>
      <c r="G5" s="8">
        <v>0</v>
      </c>
      <c r="H5" s="6">
        <f>_xlfn.XLOOKUP(A5,Foglio6!A:A,Foglio6!B:B,0)</f>
        <v>18</v>
      </c>
      <c r="I5">
        <f>SUM(_xlfn.XLOOKUP(A5,Foglio6!A:A,Foglio6!E:E,0),_xlfn.XLOOKUP(A5,Foglio6!A:A,Foglio6!F:F,0))</f>
        <v>0</v>
      </c>
      <c r="J5">
        <v>0</v>
      </c>
      <c r="K5" s="8">
        <v>0</v>
      </c>
      <c r="L5">
        <v>3</v>
      </c>
      <c r="M5" s="2">
        <v>1</v>
      </c>
      <c r="R5" s="11" t="s">
        <v>101</v>
      </c>
      <c r="T5" s="12" t="s">
        <v>154</v>
      </c>
    </row>
    <row r="6" spans="1:20" x14ac:dyDescent="0.3">
      <c r="A6" s="10" t="s">
        <v>61</v>
      </c>
      <c r="B6" t="s">
        <v>11</v>
      </c>
      <c r="C6">
        <v>23</v>
      </c>
      <c r="D6" t="s">
        <v>16</v>
      </c>
      <c r="E6" t="s">
        <v>60</v>
      </c>
      <c r="F6">
        <v>42</v>
      </c>
      <c r="G6" s="8">
        <v>0</v>
      </c>
      <c r="H6" s="6">
        <f>_xlfn.XLOOKUP(A6,Foglio6!A:A,Foglio6!B:B,0)</f>
        <v>18</v>
      </c>
      <c r="I6">
        <f>SUM(_xlfn.XLOOKUP(A6,Foglio6!A:A,Foglio6!E:E,0),_xlfn.XLOOKUP(A6,Foglio6!A:A,Foglio6!F:F,0))</f>
        <v>0</v>
      </c>
      <c r="J6">
        <v>0</v>
      </c>
      <c r="K6" s="8">
        <v>0</v>
      </c>
      <c r="L6">
        <v>3</v>
      </c>
      <c r="M6" s="2">
        <v>1</v>
      </c>
      <c r="R6" s="11" t="s">
        <v>110</v>
      </c>
      <c r="T6" s="12" t="s">
        <v>743</v>
      </c>
    </row>
    <row r="7" spans="1:20" x14ac:dyDescent="0.3">
      <c r="A7" s="10" t="s">
        <v>87</v>
      </c>
      <c r="B7" t="s">
        <v>7</v>
      </c>
      <c r="C7">
        <v>31</v>
      </c>
      <c r="D7" t="s">
        <v>16</v>
      </c>
      <c r="E7" t="s">
        <v>88</v>
      </c>
      <c r="F7">
        <v>28</v>
      </c>
      <c r="G7" s="8">
        <v>0</v>
      </c>
      <c r="H7" s="6">
        <f>_xlfn.XLOOKUP(A7,Foglio6!A:A,Foglio6!B:B,0)</f>
        <v>18</v>
      </c>
      <c r="I7">
        <f>SUM(_xlfn.XLOOKUP(A7,Foglio6!A:A,Foglio6!E:E,0),_xlfn.XLOOKUP(A7,Foglio6!A:A,Foglio6!F:F,0))</f>
        <v>0</v>
      </c>
      <c r="J7">
        <v>0</v>
      </c>
      <c r="K7" s="8">
        <v>0</v>
      </c>
      <c r="L7">
        <v>2</v>
      </c>
      <c r="M7" s="2">
        <v>1</v>
      </c>
      <c r="R7" s="11" t="s">
        <v>118</v>
      </c>
      <c r="T7" s="12"/>
    </row>
    <row r="8" spans="1:20" x14ac:dyDescent="0.3">
      <c r="A8" s="10" t="s">
        <v>101</v>
      </c>
      <c r="B8" t="s">
        <v>11</v>
      </c>
      <c r="C8">
        <v>30</v>
      </c>
      <c r="D8" t="s">
        <v>16</v>
      </c>
      <c r="E8" t="s">
        <v>88</v>
      </c>
      <c r="F8">
        <v>25</v>
      </c>
      <c r="G8" s="8">
        <v>0</v>
      </c>
      <c r="H8" s="6">
        <f>_xlfn.XLOOKUP(A8,Foglio6!A:A,Foglio6!B:B,0)</f>
        <v>18</v>
      </c>
      <c r="I8">
        <f>SUM(_xlfn.XLOOKUP(A8,Foglio6!A:A,Foglio6!E:E,0),_xlfn.XLOOKUP(A8,Foglio6!A:A,Foglio6!F:F,0))</f>
        <v>0</v>
      </c>
      <c r="L8">
        <v>2</v>
      </c>
      <c r="M8" s="2">
        <v>1</v>
      </c>
      <c r="R8" s="11" t="s">
        <v>189</v>
      </c>
      <c r="T8" s="12"/>
    </row>
    <row r="9" spans="1:20" x14ac:dyDescent="0.3">
      <c r="A9" s="10" t="s">
        <v>118</v>
      </c>
      <c r="B9" t="s">
        <v>7</v>
      </c>
      <c r="C9">
        <v>27</v>
      </c>
      <c r="D9" t="s">
        <v>16</v>
      </c>
      <c r="E9" t="s">
        <v>88</v>
      </c>
      <c r="F9">
        <v>22</v>
      </c>
      <c r="G9" s="8">
        <v>0</v>
      </c>
      <c r="H9" s="6">
        <f>_xlfn.XLOOKUP(A9,Foglio6!A:A,Foglio6!B:B,0)</f>
        <v>18</v>
      </c>
      <c r="I9">
        <f>SUM(_xlfn.XLOOKUP(A9,Foglio6!A:A,Foglio6!E:E,0),_xlfn.XLOOKUP(A9,Foglio6!A:A,Foglio6!F:F,0))</f>
        <v>0</v>
      </c>
      <c r="L9">
        <v>2</v>
      </c>
      <c r="M9" s="2">
        <v>1</v>
      </c>
      <c r="R9" s="11" t="s">
        <v>125</v>
      </c>
      <c r="T9" s="12"/>
    </row>
    <row r="10" spans="1:20" x14ac:dyDescent="0.3">
      <c r="A10" s="10" t="s">
        <v>100</v>
      </c>
      <c r="B10" t="s">
        <v>29</v>
      </c>
      <c r="C10">
        <v>29</v>
      </c>
      <c r="D10" t="s">
        <v>16</v>
      </c>
      <c r="E10" t="s">
        <v>88</v>
      </c>
      <c r="F10">
        <v>25</v>
      </c>
      <c r="G10" s="8">
        <v>0</v>
      </c>
      <c r="H10" s="6">
        <f>_xlfn.XLOOKUP(A10,Foglio6!A:A,Foglio6!B:B,0)</f>
        <v>18</v>
      </c>
      <c r="I10">
        <f>SUM(_xlfn.XLOOKUP(A10,Foglio6!A:A,Foglio6!E:E,0),_xlfn.XLOOKUP(A10,Foglio6!A:A,Foglio6!F:F,0))</f>
        <v>0</v>
      </c>
      <c r="L10">
        <v>2</v>
      </c>
      <c r="R10" s="11" t="s">
        <v>100</v>
      </c>
      <c r="T10" s="12"/>
    </row>
    <row r="11" spans="1:20" x14ac:dyDescent="0.3">
      <c r="A11" t="s">
        <v>106</v>
      </c>
      <c r="B11" t="s">
        <v>25</v>
      </c>
      <c r="C11">
        <v>25</v>
      </c>
      <c r="D11" t="s">
        <v>16</v>
      </c>
      <c r="E11" t="s">
        <v>88</v>
      </c>
      <c r="F11">
        <v>24</v>
      </c>
      <c r="G11" s="8">
        <v>0</v>
      </c>
      <c r="H11" s="6">
        <f>_xlfn.XLOOKUP(A11,Foglio6!A:A,Foglio6!B:B,0)</f>
        <v>18</v>
      </c>
      <c r="I11">
        <f>SUM(_xlfn.XLOOKUP(A11,Foglio6!A:A,Foglio6!E:E,0),_xlfn.XLOOKUP(A11,Foglio6!A:A,Foglio6!F:F,0))</f>
        <v>0</v>
      </c>
      <c r="L11">
        <v>1</v>
      </c>
    </row>
    <row r="12" spans="1:20" x14ac:dyDescent="0.3">
      <c r="A12" s="10" t="s">
        <v>107</v>
      </c>
      <c r="B12" t="s">
        <v>14</v>
      </c>
      <c r="C12">
        <v>32</v>
      </c>
      <c r="D12" t="s">
        <v>16</v>
      </c>
      <c r="E12" t="s">
        <v>88</v>
      </c>
      <c r="F12">
        <v>24</v>
      </c>
      <c r="G12" s="8">
        <v>0</v>
      </c>
      <c r="H12" s="6">
        <f>_xlfn.XLOOKUP(A12,Foglio6!A:A,Foglio6!B:B,0)</f>
        <v>18</v>
      </c>
      <c r="I12">
        <f>SUM(_xlfn.XLOOKUP(A12,Foglio6!A:A,Foglio6!E:E,0),_xlfn.XLOOKUP(A12,Foglio6!A:A,Foglio6!F:F,0))</f>
        <v>0</v>
      </c>
      <c r="J12">
        <v>0</v>
      </c>
      <c r="K12" s="8">
        <v>0</v>
      </c>
      <c r="L12">
        <v>1</v>
      </c>
      <c r="R12" s="14"/>
      <c r="T12" s="13"/>
    </row>
    <row r="13" spans="1:20" x14ac:dyDescent="0.3">
      <c r="A13" s="10" t="s">
        <v>109</v>
      </c>
      <c r="B13" t="s">
        <v>42</v>
      </c>
      <c r="C13">
        <v>26</v>
      </c>
      <c r="D13" t="s">
        <v>16</v>
      </c>
      <c r="E13" t="s">
        <v>88</v>
      </c>
      <c r="F13">
        <v>23</v>
      </c>
      <c r="G13" s="8">
        <v>0</v>
      </c>
      <c r="H13" s="6">
        <f>_xlfn.XLOOKUP(A13,Foglio6!A:A,Foglio6!B:B,0)</f>
        <v>18</v>
      </c>
      <c r="I13">
        <f>SUM(_xlfn.XLOOKUP(A13,Foglio6!A:A,Foglio6!E:E,0),_xlfn.XLOOKUP(A13,Foglio6!A:A,Foglio6!F:F,0))</f>
        <v>2</v>
      </c>
      <c r="L13">
        <v>2</v>
      </c>
      <c r="R13" s="14"/>
      <c r="T13" s="13"/>
    </row>
    <row r="14" spans="1:20" x14ac:dyDescent="0.3">
      <c r="A14" s="10" t="s">
        <v>117</v>
      </c>
      <c r="B14" t="s">
        <v>11</v>
      </c>
      <c r="C14">
        <v>27</v>
      </c>
      <c r="D14" t="s">
        <v>16</v>
      </c>
      <c r="E14" t="s">
        <v>88</v>
      </c>
      <c r="F14">
        <v>22</v>
      </c>
      <c r="H14" s="6">
        <f>_xlfn.XLOOKUP(A14,Foglio6!A:A,Foglio6!B:B,0)</f>
        <v>18</v>
      </c>
      <c r="I14">
        <f>SUM(_xlfn.XLOOKUP(A14,Foglio6!A:A,Foglio6!E:E,0),_xlfn.XLOOKUP(A14,Foglio6!A:A,Foglio6!F:F,0))</f>
        <v>0</v>
      </c>
      <c r="L14">
        <v>1</v>
      </c>
      <c r="R14" s="14"/>
      <c r="T14" s="13"/>
    </row>
    <row r="15" spans="1:20" x14ac:dyDescent="0.3">
      <c r="A15" t="s">
        <v>130</v>
      </c>
      <c r="B15" t="s">
        <v>14</v>
      </c>
      <c r="C15">
        <v>33</v>
      </c>
      <c r="D15" t="s">
        <v>16</v>
      </c>
      <c r="E15" t="s">
        <v>131</v>
      </c>
      <c r="F15">
        <v>20</v>
      </c>
      <c r="H15" s="6">
        <f>_xlfn.XLOOKUP(A15,Foglio6!A:A,Foglio6!B:B,0)</f>
        <v>18</v>
      </c>
      <c r="I15">
        <f>SUM(_xlfn.XLOOKUP(A15,Foglio6!A:A,Foglio6!E:E,0),_xlfn.XLOOKUP(A15,Foglio6!A:A,Foglio6!F:F,0))</f>
        <v>0</v>
      </c>
      <c r="L15">
        <v>1</v>
      </c>
      <c r="R15" s="14"/>
      <c r="T15" s="13"/>
    </row>
    <row r="16" spans="1:20" x14ac:dyDescent="0.3">
      <c r="A16" t="s">
        <v>129</v>
      </c>
      <c r="B16" t="s">
        <v>74</v>
      </c>
      <c r="C16">
        <v>27</v>
      </c>
      <c r="D16" t="s">
        <v>16</v>
      </c>
      <c r="E16" t="s">
        <v>88</v>
      </c>
      <c r="F16">
        <v>20</v>
      </c>
      <c r="H16" s="6">
        <f>_xlfn.XLOOKUP(A16,Foglio6!A:A,Foglio6!B:B,0)</f>
        <v>18</v>
      </c>
      <c r="I16">
        <f>SUM(_xlfn.XLOOKUP(A16,Foglio6!A:A,Foglio6!E:E,0),_xlfn.XLOOKUP(A16,Foglio6!A:A,Foglio6!F:F,0))</f>
        <v>2</v>
      </c>
      <c r="L16">
        <v>2</v>
      </c>
      <c r="R16" s="14"/>
      <c r="T16" s="13"/>
    </row>
    <row r="17" spans="1:20" x14ac:dyDescent="0.3">
      <c r="A17" t="s">
        <v>145</v>
      </c>
      <c r="B17" t="s">
        <v>74</v>
      </c>
      <c r="C17">
        <v>28</v>
      </c>
      <c r="D17" t="s">
        <v>16</v>
      </c>
      <c r="E17" t="s">
        <v>146</v>
      </c>
      <c r="F17">
        <v>17</v>
      </c>
      <c r="H17" s="6">
        <f>_xlfn.XLOOKUP(A17,Foglio6!A:A,Foglio6!B:B,0)</f>
        <v>18</v>
      </c>
      <c r="I17">
        <f>SUM(_xlfn.XLOOKUP(A17,Foglio6!A:A,Foglio6!E:E,0),_xlfn.XLOOKUP(A17,Foglio6!A:A,Foglio6!F:F,0))</f>
        <v>0</v>
      </c>
      <c r="L17">
        <v>2</v>
      </c>
      <c r="R17" s="14"/>
      <c r="T17" s="13"/>
    </row>
    <row r="18" spans="1:20" x14ac:dyDescent="0.3">
      <c r="A18" t="s">
        <v>155</v>
      </c>
      <c r="B18" t="s">
        <v>25</v>
      </c>
      <c r="C18">
        <v>26</v>
      </c>
      <c r="D18" t="s">
        <v>16</v>
      </c>
      <c r="E18" t="s">
        <v>88</v>
      </c>
      <c r="F18">
        <v>16</v>
      </c>
      <c r="H18" s="6">
        <f>_xlfn.XLOOKUP(A18,Foglio6!A:A,Foglio6!B:B,0)</f>
        <v>18</v>
      </c>
      <c r="I18">
        <f>SUM(_xlfn.XLOOKUP(A18,Foglio6!A:A,Foglio6!E:E,0),_xlfn.XLOOKUP(A18,Foglio6!A:A,Foglio6!F:F,0))</f>
        <v>0</v>
      </c>
      <c r="L18">
        <v>1</v>
      </c>
      <c r="R18" s="14"/>
      <c r="T18" s="13"/>
    </row>
    <row r="19" spans="1:20" x14ac:dyDescent="0.3">
      <c r="A19" t="s">
        <v>173</v>
      </c>
      <c r="B19" t="s">
        <v>29</v>
      </c>
      <c r="C19">
        <v>26</v>
      </c>
      <c r="D19" t="s">
        <v>16</v>
      </c>
      <c r="E19" t="s">
        <v>174</v>
      </c>
      <c r="F19">
        <v>14</v>
      </c>
      <c r="H19" s="6">
        <f>_xlfn.XLOOKUP(A19,Foglio6!A:A,Foglio6!B:B,0)</f>
        <v>18</v>
      </c>
      <c r="I19">
        <f>SUM(_xlfn.XLOOKUP(A19,Foglio6!A:A,Foglio6!E:E,0),_xlfn.XLOOKUP(A19,Foglio6!A:A,Foglio6!F:F,0))</f>
        <v>0</v>
      </c>
      <c r="L19">
        <v>1</v>
      </c>
      <c r="R19" s="14"/>
      <c r="T19" s="13"/>
    </row>
    <row r="20" spans="1:20" x14ac:dyDescent="0.3">
      <c r="A20" t="s">
        <v>175</v>
      </c>
      <c r="B20" t="s">
        <v>31</v>
      </c>
      <c r="C20">
        <v>24</v>
      </c>
      <c r="D20" t="s">
        <v>16</v>
      </c>
      <c r="E20" t="s">
        <v>88</v>
      </c>
      <c r="F20">
        <v>14</v>
      </c>
      <c r="H20" s="6">
        <f>_xlfn.XLOOKUP(A20,Foglio6!A:A,Foglio6!B:B,0)</f>
        <v>18</v>
      </c>
      <c r="I20">
        <f>SUM(_xlfn.XLOOKUP(A20,Foglio6!A:A,Foglio6!E:E,0),_xlfn.XLOOKUP(A20,Foglio6!A:A,Foglio6!F:F,0))</f>
        <v>0</v>
      </c>
      <c r="L20">
        <v>1</v>
      </c>
      <c r="R20" s="14"/>
      <c r="T20" s="13"/>
    </row>
    <row r="21" spans="1:20" x14ac:dyDescent="0.3">
      <c r="A21" t="s">
        <v>191</v>
      </c>
      <c r="B21" t="s">
        <v>25</v>
      </c>
      <c r="C21">
        <v>27</v>
      </c>
      <c r="D21" t="s">
        <v>16</v>
      </c>
      <c r="E21" t="s">
        <v>88</v>
      </c>
      <c r="F21">
        <v>13</v>
      </c>
      <c r="H21" s="6">
        <f>_xlfn.XLOOKUP(A21,Foglio6!A:A,Foglio6!B:B,0)</f>
        <v>18</v>
      </c>
      <c r="I21">
        <f>SUM(_xlfn.XLOOKUP(A21,Foglio6!A:A,Foglio6!E:E,0),_xlfn.XLOOKUP(A21,Foglio6!A:A,Foglio6!F:F,0))</f>
        <v>0</v>
      </c>
      <c r="L21">
        <v>1</v>
      </c>
      <c r="R21" s="14"/>
      <c r="T21" s="13"/>
    </row>
    <row r="22" spans="1:20" x14ac:dyDescent="0.3">
      <c r="A22" t="s">
        <v>202</v>
      </c>
      <c r="B22" t="s">
        <v>33</v>
      </c>
      <c r="C22">
        <v>26</v>
      </c>
      <c r="D22" t="s">
        <v>16</v>
      </c>
      <c r="E22" t="s">
        <v>188</v>
      </c>
      <c r="F22">
        <v>12</v>
      </c>
      <c r="H22" s="6">
        <f>_xlfn.XLOOKUP(A22,Foglio6!A:A,Foglio6!B:B,0)</f>
        <v>18</v>
      </c>
      <c r="I22">
        <f>SUM(_xlfn.XLOOKUP(A22,Foglio6!A:A,Foglio6!E:E,0),_xlfn.XLOOKUP(A22,Foglio6!A:A,Foglio6!F:F,0))</f>
        <v>1</v>
      </c>
      <c r="L22">
        <v>1</v>
      </c>
    </row>
    <row r="23" spans="1:20" x14ac:dyDescent="0.3">
      <c r="A23" t="s">
        <v>214</v>
      </c>
      <c r="B23" t="s">
        <v>115</v>
      </c>
      <c r="C23">
        <v>27</v>
      </c>
      <c r="D23" t="s">
        <v>16</v>
      </c>
      <c r="E23" t="s">
        <v>215</v>
      </c>
      <c r="F23">
        <v>11</v>
      </c>
      <c r="H23" s="6">
        <f>_xlfn.XLOOKUP(A23,Foglio6!A:A,Foglio6!B:B,0)</f>
        <v>18</v>
      </c>
      <c r="I23">
        <f>SUM(_xlfn.XLOOKUP(A23,Foglio6!A:A,Foglio6!E:E,0),_xlfn.XLOOKUP(A23,Foglio6!A:A,Foglio6!F:F,0))</f>
        <v>0</v>
      </c>
      <c r="L23">
        <v>1</v>
      </c>
      <c r="R23" s="4"/>
      <c r="T23" s="15"/>
    </row>
    <row r="24" spans="1:20" x14ac:dyDescent="0.3">
      <c r="A24" t="s">
        <v>216</v>
      </c>
      <c r="B24" t="s">
        <v>55</v>
      </c>
      <c r="C24">
        <v>28</v>
      </c>
      <c r="D24" t="s">
        <v>16</v>
      </c>
      <c r="E24" t="s">
        <v>88</v>
      </c>
      <c r="F24">
        <v>11</v>
      </c>
      <c r="H24" s="6">
        <f>_xlfn.XLOOKUP(A24,Foglio6!A:A,Foglio6!B:B,0)</f>
        <v>18</v>
      </c>
      <c r="I24">
        <f>SUM(_xlfn.XLOOKUP(A24,Foglio6!A:A,Foglio6!E:E,0),_xlfn.XLOOKUP(A24,Foglio6!A:A,Foglio6!F:F,0))</f>
        <v>0</v>
      </c>
      <c r="L24">
        <v>1</v>
      </c>
      <c r="R24" s="4"/>
      <c r="T24" s="15"/>
    </row>
    <row r="25" spans="1:20" x14ac:dyDescent="0.3">
      <c r="A25" t="s">
        <v>213</v>
      </c>
      <c r="B25" t="s">
        <v>74</v>
      </c>
      <c r="C25">
        <v>22</v>
      </c>
      <c r="D25" t="s">
        <v>16</v>
      </c>
      <c r="E25" t="s">
        <v>131</v>
      </c>
      <c r="F25">
        <v>11</v>
      </c>
      <c r="H25" s="6">
        <f>_xlfn.XLOOKUP(A25,Foglio6!A:A,Foglio6!B:B,0)</f>
        <v>18</v>
      </c>
      <c r="I25">
        <f>SUM(_xlfn.XLOOKUP(A25,Foglio6!A:A,Foglio6!E:E,0),_xlfn.XLOOKUP(A25,Foglio6!A:A,Foglio6!F:F,0))</f>
        <v>0</v>
      </c>
      <c r="L25">
        <v>1</v>
      </c>
      <c r="R25" s="4"/>
      <c r="T25" s="15"/>
    </row>
    <row r="26" spans="1:20" x14ac:dyDescent="0.3">
      <c r="A26" t="s">
        <v>232</v>
      </c>
      <c r="B26" t="s">
        <v>45</v>
      </c>
      <c r="C26">
        <v>26</v>
      </c>
      <c r="D26" t="s">
        <v>16</v>
      </c>
      <c r="E26" t="s">
        <v>88</v>
      </c>
      <c r="F26">
        <v>10</v>
      </c>
      <c r="H26" s="6">
        <f>_xlfn.XLOOKUP(A26,Foglio6!A:A,Foglio6!B:B,0)</f>
        <v>18</v>
      </c>
      <c r="I26">
        <f>SUM(_xlfn.XLOOKUP(A26,Foglio6!A:A,Foglio6!E:E,0),_xlfn.XLOOKUP(A26,Foglio6!A:A,Foglio6!F:F,0))</f>
        <v>0</v>
      </c>
      <c r="L26">
        <v>1</v>
      </c>
      <c r="R26" s="4"/>
      <c r="T26" s="15"/>
    </row>
    <row r="27" spans="1:20" x14ac:dyDescent="0.3">
      <c r="A27" t="s">
        <v>237</v>
      </c>
      <c r="B27" t="s">
        <v>55</v>
      </c>
      <c r="C27">
        <v>34</v>
      </c>
      <c r="D27" t="s">
        <v>16</v>
      </c>
      <c r="E27" t="s">
        <v>174</v>
      </c>
      <c r="F27">
        <v>10</v>
      </c>
      <c r="H27" s="6">
        <f>_xlfn.XLOOKUP(A27,Foglio6!A:A,Foglio6!B:B,0)</f>
        <v>18</v>
      </c>
      <c r="I27">
        <f>SUM(_xlfn.XLOOKUP(A27,Foglio6!A:A,Foglio6!E:E,0),_xlfn.XLOOKUP(A27,Foglio6!A:A,Foglio6!F:F,0))</f>
        <v>0</v>
      </c>
      <c r="L27">
        <v>1</v>
      </c>
      <c r="R27" s="4"/>
      <c r="T27" s="15"/>
    </row>
    <row r="28" spans="1:20" x14ac:dyDescent="0.3">
      <c r="A28" t="s">
        <v>234</v>
      </c>
      <c r="B28" t="s">
        <v>42</v>
      </c>
      <c r="C28">
        <v>31</v>
      </c>
      <c r="D28" t="s">
        <v>16</v>
      </c>
      <c r="E28" t="s">
        <v>131</v>
      </c>
      <c r="F28">
        <v>10</v>
      </c>
      <c r="H28" s="6">
        <f>_xlfn.XLOOKUP(A28,Foglio6!A:A,Foglio6!B:B,0)</f>
        <v>18</v>
      </c>
      <c r="I28">
        <f>SUM(_xlfn.XLOOKUP(A28,Foglio6!A:A,Foglio6!E:E,0),_xlfn.XLOOKUP(A28,Foglio6!A:A,Foglio6!F:F,0))</f>
        <v>0</v>
      </c>
      <c r="L28">
        <v>2</v>
      </c>
      <c r="R28" s="4"/>
      <c r="T28" s="15"/>
    </row>
    <row r="29" spans="1:20" x14ac:dyDescent="0.3">
      <c r="A29" t="s">
        <v>275</v>
      </c>
      <c r="B29" t="s">
        <v>33</v>
      </c>
      <c r="C29">
        <v>27</v>
      </c>
      <c r="D29" t="s">
        <v>16</v>
      </c>
      <c r="E29" t="s">
        <v>146</v>
      </c>
      <c r="F29">
        <v>8</v>
      </c>
      <c r="H29" s="6">
        <f>_xlfn.XLOOKUP(A29,Foglio6!A:A,Foglio6!B:B,0)</f>
        <v>18</v>
      </c>
      <c r="I29">
        <f>SUM(_xlfn.XLOOKUP(A29,Foglio6!A:A,Foglio6!E:E,0),_xlfn.XLOOKUP(A29,Foglio6!A:A,Foglio6!F:F,0))</f>
        <v>0</v>
      </c>
      <c r="L29">
        <v>1</v>
      </c>
      <c r="R29" s="4"/>
      <c r="T29" s="15"/>
    </row>
    <row r="30" spans="1:20" x14ac:dyDescent="0.3">
      <c r="A30" t="s">
        <v>273</v>
      </c>
      <c r="B30" t="s">
        <v>142</v>
      </c>
      <c r="C30">
        <v>28</v>
      </c>
      <c r="D30" t="s">
        <v>16</v>
      </c>
      <c r="E30" t="s">
        <v>188</v>
      </c>
      <c r="F30">
        <v>8</v>
      </c>
      <c r="H30" s="6">
        <f>_xlfn.XLOOKUP(A30,Foglio6!A:A,Foglio6!B:B,0)</f>
        <v>18</v>
      </c>
      <c r="I30">
        <f>SUM(_xlfn.XLOOKUP(A30,Foglio6!A:A,Foglio6!E:E,0),_xlfn.XLOOKUP(A30,Foglio6!A:A,Foglio6!F:F,0))</f>
        <v>0</v>
      </c>
      <c r="L30">
        <v>1</v>
      </c>
      <c r="R30" s="4"/>
      <c r="T30" s="15"/>
    </row>
    <row r="31" spans="1:20" x14ac:dyDescent="0.3">
      <c r="A31" t="s">
        <v>308</v>
      </c>
      <c r="B31" t="s">
        <v>94</v>
      </c>
      <c r="C31">
        <v>25</v>
      </c>
      <c r="D31" t="s">
        <v>16</v>
      </c>
      <c r="E31" t="s">
        <v>88</v>
      </c>
      <c r="F31">
        <v>7</v>
      </c>
      <c r="H31" s="6">
        <f>_xlfn.XLOOKUP(A31,Foglio6!A:A,Foglio6!B:B,0)</f>
        <v>18</v>
      </c>
      <c r="I31">
        <f>SUM(_xlfn.XLOOKUP(A31,Foglio6!A:A,Foglio6!E:E,0),_xlfn.XLOOKUP(A31,Foglio6!A:A,Foglio6!F:F,0))</f>
        <v>0</v>
      </c>
      <c r="L31">
        <v>1</v>
      </c>
      <c r="R31" s="4"/>
      <c r="T31" s="15"/>
    </row>
    <row r="32" spans="1:20" x14ac:dyDescent="0.3">
      <c r="A32" t="s">
        <v>319</v>
      </c>
      <c r="B32" t="s">
        <v>178</v>
      </c>
      <c r="C32">
        <v>26</v>
      </c>
      <c r="D32" t="s">
        <v>16</v>
      </c>
      <c r="E32" t="s">
        <v>188</v>
      </c>
      <c r="F32">
        <v>7</v>
      </c>
      <c r="H32" s="6">
        <f>_xlfn.XLOOKUP(A32,Foglio6!A:A,Foglio6!B:B,0)</f>
        <v>18</v>
      </c>
      <c r="I32">
        <f>SUM(_xlfn.XLOOKUP(A32,Foglio6!A:A,Foglio6!E:E,0),_xlfn.XLOOKUP(A32,Foglio6!A:A,Foglio6!F:F,0))</f>
        <v>1</v>
      </c>
      <c r="L32">
        <v>2</v>
      </c>
      <c r="R32" s="4"/>
      <c r="T32" s="15"/>
    </row>
    <row r="33" spans="1:20" x14ac:dyDescent="0.3">
      <c r="A33" t="s">
        <v>311</v>
      </c>
      <c r="B33" t="s">
        <v>74</v>
      </c>
      <c r="C33">
        <v>24</v>
      </c>
      <c r="D33" t="s">
        <v>16</v>
      </c>
      <c r="E33" t="s">
        <v>88</v>
      </c>
      <c r="F33">
        <v>7</v>
      </c>
      <c r="H33" s="6">
        <f>_xlfn.XLOOKUP(A33,Foglio6!A:A,Foglio6!B:B,0)</f>
        <v>18</v>
      </c>
      <c r="I33">
        <f>SUM(_xlfn.XLOOKUP(A33,Foglio6!A:A,Foglio6!E:E,0),_xlfn.XLOOKUP(A33,Foglio6!A:A,Foglio6!F:F,0))</f>
        <v>0</v>
      </c>
      <c r="L33"/>
    </row>
    <row r="34" spans="1:20" x14ac:dyDescent="0.3">
      <c r="A34" t="s">
        <v>315</v>
      </c>
      <c r="B34" t="s">
        <v>104</v>
      </c>
      <c r="C34">
        <v>24</v>
      </c>
      <c r="D34" t="s">
        <v>16</v>
      </c>
      <c r="E34" t="s">
        <v>171</v>
      </c>
      <c r="F34">
        <v>7</v>
      </c>
      <c r="H34" s="6">
        <f>_xlfn.XLOOKUP(A34,Foglio6!A:A,Foglio6!B:B,0)</f>
        <v>18</v>
      </c>
      <c r="I34">
        <f>SUM(_xlfn.XLOOKUP(A34,Foglio6!A:A,Foglio6!E:E,0),_xlfn.XLOOKUP(A34,Foglio6!A:A,Foglio6!F:F,0))</f>
        <v>0</v>
      </c>
      <c r="L34">
        <v>1</v>
      </c>
      <c r="R34" s="17"/>
      <c r="T34" s="16"/>
    </row>
    <row r="35" spans="1:20" x14ac:dyDescent="0.3">
      <c r="A35" t="s">
        <v>312</v>
      </c>
      <c r="B35" t="s">
        <v>64</v>
      </c>
      <c r="C35">
        <v>26</v>
      </c>
      <c r="D35" t="s">
        <v>16</v>
      </c>
      <c r="E35" t="s">
        <v>131</v>
      </c>
      <c r="F35">
        <v>7</v>
      </c>
      <c r="H35" s="6">
        <f>_xlfn.XLOOKUP(A35,Foglio6!A:A,Foglio6!B:B,0)</f>
        <v>18</v>
      </c>
      <c r="I35">
        <f>SUM(_xlfn.XLOOKUP(A35,Foglio6!A:A,Foglio6!E:E,0),_xlfn.XLOOKUP(A35,Foglio6!A:A,Foglio6!F:F,0))</f>
        <v>0</v>
      </c>
      <c r="L35">
        <v>1</v>
      </c>
      <c r="R35" s="17"/>
      <c r="T35" s="16"/>
    </row>
    <row r="36" spans="1:20" x14ac:dyDescent="0.3">
      <c r="A36" t="s">
        <v>354</v>
      </c>
      <c r="B36" t="s">
        <v>64</v>
      </c>
      <c r="C36">
        <v>21</v>
      </c>
      <c r="D36" t="s">
        <v>16</v>
      </c>
      <c r="E36" t="s">
        <v>88</v>
      </c>
      <c r="F36">
        <v>6</v>
      </c>
      <c r="H36" s="6">
        <f>_xlfn.XLOOKUP(A36,Foglio6!A:A,Foglio6!B:B,0)</f>
        <v>18</v>
      </c>
      <c r="I36">
        <f>SUM(_xlfn.XLOOKUP(A36,Foglio6!A:A,Foglio6!E:E,0),_xlfn.XLOOKUP(A36,Foglio6!A:A,Foglio6!F:F,0))</f>
        <v>0</v>
      </c>
      <c r="L36"/>
      <c r="R36" s="17"/>
      <c r="T36" s="16"/>
    </row>
    <row r="37" spans="1:20" x14ac:dyDescent="0.3">
      <c r="A37" t="s">
        <v>359</v>
      </c>
      <c r="B37" t="s">
        <v>42</v>
      </c>
      <c r="C37">
        <v>32</v>
      </c>
      <c r="D37" t="s">
        <v>16</v>
      </c>
      <c r="E37" t="s">
        <v>188</v>
      </c>
      <c r="F37">
        <v>6</v>
      </c>
      <c r="H37" s="6">
        <f>_xlfn.XLOOKUP(A37,Foglio6!A:A,Foglio6!B:B,0)</f>
        <v>18</v>
      </c>
      <c r="I37">
        <f>SUM(_xlfn.XLOOKUP(A37,Foglio6!A:A,Foglio6!E:E,0),_xlfn.XLOOKUP(A37,Foglio6!A:A,Foglio6!F:F,0))</f>
        <v>0</v>
      </c>
      <c r="L37"/>
      <c r="R37" s="17"/>
      <c r="T37" s="16"/>
    </row>
    <row r="38" spans="1:20" x14ac:dyDescent="0.3">
      <c r="A38" t="s">
        <v>349</v>
      </c>
      <c r="B38" t="s">
        <v>178</v>
      </c>
      <c r="C38">
        <v>24</v>
      </c>
      <c r="D38" t="s">
        <v>16</v>
      </c>
      <c r="E38" t="s">
        <v>131</v>
      </c>
      <c r="F38">
        <v>6</v>
      </c>
      <c r="H38" s="6">
        <f>_xlfn.XLOOKUP(A38,Foglio6!A:A,Foglio6!B:B,0)</f>
        <v>18</v>
      </c>
      <c r="I38">
        <f>SUM(_xlfn.XLOOKUP(A38,Foglio6!A:A,Foglio6!E:E,0),_xlfn.XLOOKUP(A38,Foglio6!A:A,Foglio6!F:F,0))</f>
        <v>0</v>
      </c>
      <c r="L38">
        <v>1</v>
      </c>
      <c r="R38" s="17"/>
      <c r="T38" s="16"/>
    </row>
    <row r="39" spans="1:20" x14ac:dyDescent="0.3">
      <c r="A39" t="s">
        <v>404</v>
      </c>
      <c r="B39" t="s">
        <v>142</v>
      </c>
      <c r="C39">
        <v>25</v>
      </c>
      <c r="D39" t="s">
        <v>16</v>
      </c>
      <c r="E39" t="s">
        <v>146</v>
      </c>
      <c r="F39">
        <v>5</v>
      </c>
      <c r="H39" s="6">
        <f>_xlfn.XLOOKUP(A39,Foglio6!A:A,Foglio6!B:B,0)</f>
        <v>18</v>
      </c>
      <c r="I39">
        <f>SUM(_xlfn.XLOOKUP(A39,Foglio6!A:A,Foglio6!E:E,0),_xlfn.XLOOKUP(A39,Foglio6!A:A,Foglio6!F:F,0))</f>
        <v>0</v>
      </c>
      <c r="L39"/>
      <c r="R39" s="17"/>
      <c r="T39" s="16"/>
    </row>
    <row r="40" spans="1:20" x14ac:dyDescent="0.3">
      <c r="A40" t="s">
        <v>407</v>
      </c>
      <c r="B40" t="s">
        <v>42</v>
      </c>
      <c r="C40">
        <v>35</v>
      </c>
      <c r="D40" t="s">
        <v>16</v>
      </c>
      <c r="E40" t="s">
        <v>88</v>
      </c>
      <c r="F40">
        <v>5</v>
      </c>
      <c r="H40" s="6">
        <f>_xlfn.XLOOKUP(A40,Foglio6!A:A,Foglio6!B:B,0)</f>
        <v>18</v>
      </c>
      <c r="I40">
        <f>SUM(_xlfn.XLOOKUP(A40,Foglio6!A:A,Foglio6!E:E,0),_xlfn.XLOOKUP(A40,Foglio6!A:A,Foglio6!F:F,0))</f>
        <v>0</v>
      </c>
      <c r="L40">
        <v>1</v>
      </c>
      <c r="R40" s="17"/>
      <c r="T40" s="16"/>
    </row>
    <row r="41" spans="1:20" x14ac:dyDescent="0.3">
      <c r="A41" t="s">
        <v>428</v>
      </c>
      <c r="B41" t="s">
        <v>94</v>
      </c>
      <c r="C41">
        <v>24</v>
      </c>
      <c r="D41" t="s">
        <v>16</v>
      </c>
      <c r="E41" t="s">
        <v>88</v>
      </c>
      <c r="F41">
        <v>4</v>
      </c>
      <c r="H41" s="6">
        <f>_xlfn.XLOOKUP(A41,Foglio6!A:A,Foglio6!B:B,0)</f>
        <v>18</v>
      </c>
      <c r="I41">
        <f>SUM(_xlfn.XLOOKUP(A41,Foglio6!A:A,Foglio6!E:E,0),_xlfn.XLOOKUP(A41,Foglio6!A:A,Foglio6!F:F,0))</f>
        <v>0</v>
      </c>
      <c r="L41">
        <v>1</v>
      </c>
      <c r="R41" s="17"/>
      <c r="T41" s="16"/>
    </row>
    <row r="42" spans="1:20" x14ac:dyDescent="0.3">
      <c r="A42" t="s">
        <v>425</v>
      </c>
      <c r="B42" t="s">
        <v>115</v>
      </c>
      <c r="C42">
        <v>23</v>
      </c>
      <c r="D42" t="s">
        <v>16</v>
      </c>
      <c r="E42" t="s">
        <v>88</v>
      </c>
      <c r="F42">
        <v>4</v>
      </c>
      <c r="H42" s="6">
        <f>_xlfn.XLOOKUP(A42,Foglio6!A:A,Foglio6!B:B,0)</f>
        <v>18</v>
      </c>
      <c r="I42">
        <f>SUM(_xlfn.XLOOKUP(A42,Foglio6!A:A,Foglio6!E:E,0),_xlfn.XLOOKUP(A42,Foglio6!A:A,Foglio6!F:F,0))</f>
        <v>0</v>
      </c>
      <c r="L42">
        <v>1</v>
      </c>
      <c r="R42" s="17"/>
      <c r="T42" s="16"/>
    </row>
    <row r="43" spans="1:20" x14ac:dyDescent="0.3">
      <c r="A43" s="10" t="s">
        <v>154</v>
      </c>
      <c r="B43" t="s">
        <v>19</v>
      </c>
      <c r="C43">
        <v>21</v>
      </c>
      <c r="D43" t="s">
        <v>16</v>
      </c>
      <c r="E43" t="s">
        <v>88</v>
      </c>
      <c r="F43">
        <v>16</v>
      </c>
      <c r="H43" s="6">
        <f>_xlfn.XLOOKUP(A43,Foglio6!A:A,Foglio6!B:B,0)</f>
        <v>17.5</v>
      </c>
      <c r="I43">
        <f>SUM(_xlfn.XLOOKUP(A43,Foglio6!A:A,Foglio6!E:E,0),_xlfn.XLOOKUP(A43,Foglio6!A:A,Foglio6!F:F,0))</f>
        <v>0</v>
      </c>
      <c r="L43">
        <v>2</v>
      </c>
      <c r="R43" s="17"/>
      <c r="T43" s="16"/>
    </row>
    <row r="44" spans="1:20" x14ac:dyDescent="0.3">
      <c r="A44" s="10" t="s">
        <v>110</v>
      </c>
      <c r="B44" t="s">
        <v>29</v>
      </c>
      <c r="C44">
        <v>26</v>
      </c>
      <c r="D44" t="s">
        <v>16</v>
      </c>
      <c r="E44" t="s">
        <v>111</v>
      </c>
      <c r="F44">
        <v>23</v>
      </c>
      <c r="G44" s="8">
        <v>0</v>
      </c>
      <c r="H44" s="6">
        <f>_xlfn.XLOOKUP(A44,Foglio6!A:A,Foglio6!B:B,0)</f>
        <v>17</v>
      </c>
      <c r="I44">
        <f>SUM(_xlfn.XLOOKUP(A44,Foglio6!A:A,Foglio6!E:E,0),_xlfn.XLOOKUP(A44,Foglio6!A:A,Foglio6!F:F,0))</f>
        <v>0</v>
      </c>
      <c r="J44">
        <v>0</v>
      </c>
      <c r="K44" s="8">
        <v>0</v>
      </c>
      <c r="L44">
        <v>2</v>
      </c>
      <c r="M44" s="2">
        <v>1</v>
      </c>
    </row>
    <row r="45" spans="1:20" x14ac:dyDescent="0.3">
      <c r="A45" t="s">
        <v>169</v>
      </c>
      <c r="B45" t="s">
        <v>19</v>
      </c>
      <c r="C45">
        <v>24</v>
      </c>
      <c r="D45" t="s">
        <v>16</v>
      </c>
      <c r="E45" t="s">
        <v>131</v>
      </c>
      <c r="F45">
        <v>14</v>
      </c>
      <c r="H45" s="6">
        <f>_xlfn.XLOOKUP(A45,Foglio6!A:A,Foglio6!B:B,0)</f>
        <v>17</v>
      </c>
      <c r="I45">
        <f>SUM(_xlfn.XLOOKUP(A45,Foglio6!A:A,Foglio6!E:E,0),_xlfn.XLOOKUP(A45,Foglio6!A:A,Foglio6!F:F,0))</f>
        <v>0</v>
      </c>
      <c r="L45">
        <v>2</v>
      </c>
    </row>
    <row r="46" spans="1:20" x14ac:dyDescent="0.3">
      <c r="A46" t="s">
        <v>236</v>
      </c>
      <c r="B46" t="s">
        <v>104</v>
      </c>
      <c r="C46">
        <v>32</v>
      </c>
      <c r="D46" t="s">
        <v>16</v>
      </c>
      <c r="E46" t="s">
        <v>88</v>
      </c>
      <c r="F46">
        <v>10</v>
      </c>
      <c r="H46" s="6">
        <f>_xlfn.XLOOKUP(A46,Foglio6!A:A,Foglio6!B:B,0)</f>
        <v>17</v>
      </c>
      <c r="I46">
        <f>SUM(_xlfn.XLOOKUP(A46,Foglio6!A:A,Foglio6!E:E,0),_xlfn.XLOOKUP(A46,Foglio6!A:A,Foglio6!F:F,0))</f>
        <v>1</v>
      </c>
      <c r="L46"/>
    </row>
    <row r="47" spans="1:20" x14ac:dyDescent="0.3">
      <c r="A47" t="s">
        <v>249</v>
      </c>
      <c r="B47" t="s">
        <v>31</v>
      </c>
      <c r="C47">
        <v>20</v>
      </c>
      <c r="D47" t="s">
        <v>16</v>
      </c>
      <c r="E47" t="s">
        <v>146</v>
      </c>
      <c r="F47">
        <v>9</v>
      </c>
      <c r="H47" s="6">
        <f>_xlfn.XLOOKUP(A47,Foglio6!A:A,Foglio6!B:B,0)</f>
        <v>17</v>
      </c>
      <c r="I47">
        <f>SUM(_xlfn.XLOOKUP(A47,Foglio6!A:A,Foglio6!E:E,0),_xlfn.XLOOKUP(A47,Foglio6!A:A,Foglio6!F:F,0))</f>
        <v>0</v>
      </c>
      <c r="L47">
        <v>2</v>
      </c>
    </row>
    <row r="48" spans="1:20" x14ac:dyDescent="0.3">
      <c r="A48" t="s">
        <v>317</v>
      </c>
      <c r="B48" t="s">
        <v>157</v>
      </c>
      <c r="C48">
        <v>25</v>
      </c>
      <c r="D48" t="s">
        <v>16</v>
      </c>
      <c r="E48" t="s">
        <v>88</v>
      </c>
      <c r="F48">
        <v>7</v>
      </c>
      <c r="H48" s="6">
        <f>_xlfn.XLOOKUP(A48,Foglio6!A:A,Foglio6!B:B,0)</f>
        <v>17</v>
      </c>
      <c r="I48">
        <f>SUM(_xlfn.XLOOKUP(A48,Foglio6!A:A,Foglio6!E:E,0),_xlfn.XLOOKUP(A48,Foglio6!A:A,Foglio6!F:F,0))</f>
        <v>0</v>
      </c>
      <c r="L48"/>
    </row>
    <row r="49" spans="1:13" x14ac:dyDescent="0.3">
      <c r="A49" t="s">
        <v>356</v>
      </c>
      <c r="B49" t="s">
        <v>142</v>
      </c>
      <c r="C49">
        <v>27</v>
      </c>
      <c r="D49" t="s">
        <v>16</v>
      </c>
      <c r="E49" t="s">
        <v>174</v>
      </c>
      <c r="F49">
        <v>6</v>
      </c>
      <c r="H49" s="6">
        <f>_xlfn.XLOOKUP(A49,Foglio6!A:A,Foglio6!B:B,0)</f>
        <v>17</v>
      </c>
      <c r="I49">
        <f>SUM(_xlfn.XLOOKUP(A49,Foglio6!A:A,Foglio6!E:E,0),_xlfn.XLOOKUP(A49,Foglio6!A:A,Foglio6!F:F,0))</f>
        <v>0</v>
      </c>
      <c r="L49">
        <v>1</v>
      </c>
    </row>
    <row r="50" spans="1:13" x14ac:dyDescent="0.3">
      <c r="A50" s="10" t="s">
        <v>189</v>
      </c>
      <c r="B50" t="s">
        <v>19</v>
      </c>
      <c r="C50">
        <v>27</v>
      </c>
      <c r="D50" t="s">
        <v>16</v>
      </c>
      <c r="E50" t="s">
        <v>111</v>
      </c>
      <c r="F50">
        <v>13</v>
      </c>
      <c r="H50" s="6">
        <f>_xlfn.XLOOKUP(A50,Foglio6!A:A,Foglio6!B:B,0)</f>
        <v>16.5</v>
      </c>
      <c r="I50">
        <f>SUM(_xlfn.XLOOKUP(A50,Foglio6!A:A,Foglio6!E:E,0),_xlfn.XLOOKUP(A50,Foglio6!A:A,Foglio6!F:F,0))</f>
        <v>0</v>
      </c>
      <c r="L50">
        <v>2</v>
      </c>
      <c r="M50" s="2">
        <v>1</v>
      </c>
    </row>
    <row r="51" spans="1:13" x14ac:dyDescent="0.3">
      <c r="A51" t="s">
        <v>172</v>
      </c>
      <c r="B51" t="s">
        <v>39</v>
      </c>
      <c r="C51">
        <v>23</v>
      </c>
      <c r="D51" t="s">
        <v>16</v>
      </c>
      <c r="E51" t="s">
        <v>88</v>
      </c>
      <c r="F51">
        <v>14</v>
      </c>
      <c r="H51" s="6">
        <f>_xlfn.XLOOKUP(A51,Foglio6!A:A,Foglio6!B:B,0)</f>
        <v>16.5</v>
      </c>
      <c r="I51">
        <f>SUM(_xlfn.XLOOKUP(A51,Foglio6!A:A,Foglio6!E:E,0),_xlfn.XLOOKUP(A51,Foglio6!A:A,Foglio6!F:F,0))</f>
        <v>0</v>
      </c>
      <c r="L51">
        <v>1</v>
      </c>
    </row>
    <row r="52" spans="1:13" x14ac:dyDescent="0.3">
      <c r="A52" t="s">
        <v>201</v>
      </c>
      <c r="B52" t="s">
        <v>115</v>
      </c>
      <c r="C52">
        <v>28</v>
      </c>
      <c r="D52" t="s">
        <v>16</v>
      </c>
      <c r="E52" t="s">
        <v>188</v>
      </c>
      <c r="F52">
        <v>12</v>
      </c>
      <c r="H52" s="6">
        <f>_xlfn.XLOOKUP(A52,Foglio6!A:A,Foglio6!B:B,0)</f>
        <v>16</v>
      </c>
      <c r="I52">
        <f>SUM(_xlfn.XLOOKUP(A52,Foglio6!A:A,Foglio6!E:E,0),_xlfn.XLOOKUP(A52,Foglio6!A:A,Foglio6!F:F,0))</f>
        <v>2</v>
      </c>
      <c r="L52">
        <v>1</v>
      </c>
    </row>
    <row r="53" spans="1:13" x14ac:dyDescent="0.3">
      <c r="A53" t="s">
        <v>233</v>
      </c>
      <c r="B53" t="s">
        <v>39</v>
      </c>
      <c r="C53">
        <v>24</v>
      </c>
      <c r="D53" t="s">
        <v>16</v>
      </c>
      <c r="E53" t="s">
        <v>111</v>
      </c>
      <c r="F53">
        <v>10</v>
      </c>
      <c r="H53" s="6">
        <f>_xlfn.XLOOKUP(A53,Foglio6!A:A,Foglio6!B:B,0)</f>
        <v>16</v>
      </c>
      <c r="I53">
        <f>SUM(_xlfn.XLOOKUP(A53,Foglio6!A:A,Foglio6!E:E,0),_xlfn.XLOOKUP(A53,Foglio6!A:A,Foglio6!F:F,0))</f>
        <v>0</v>
      </c>
      <c r="L53">
        <v>1</v>
      </c>
    </row>
    <row r="54" spans="1:13" x14ac:dyDescent="0.3">
      <c r="A54" t="s">
        <v>235</v>
      </c>
      <c r="B54" t="s">
        <v>33</v>
      </c>
      <c r="C54">
        <v>27</v>
      </c>
      <c r="D54" t="s">
        <v>16</v>
      </c>
      <c r="E54" t="s">
        <v>131</v>
      </c>
      <c r="F54">
        <v>10</v>
      </c>
      <c r="H54" s="6">
        <f>_xlfn.XLOOKUP(A54,Foglio6!A:A,Foglio6!B:B,0)</f>
        <v>16</v>
      </c>
      <c r="I54">
        <f>SUM(_xlfn.XLOOKUP(A54,Foglio6!A:A,Foglio6!E:E,0),_xlfn.XLOOKUP(A54,Foglio6!A:A,Foglio6!F:F,0))</f>
        <v>0</v>
      </c>
      <c r="L54"/>
    </row>
    <row r="55" spans="1:13" x14ac:dyDescent="0.3">
      <c r="A55" t="s">
        <v>399</v>
      </c>
      <c r="B55" t="s">
        <v>42</v>
      </c>
      <c r="C55">
        <v>23</v>
      </c>
      <c r="D55" t="s">
        <v>16</v>
      </c>
      <c r="E55" t="s">
        <v>400</v>
      </c>
      <c r="F55">
        <v>5</v>
      </c>
      <c r="H55" s="6">
        <f>_xlfn.XLOOKUP(A55,Foglio6!A:A,Foglio6!B:B,0)</f>
        <v>16</v>
      </c>
      <c r="I55">
        <f>SUM(_xlfn.XLOOKUP(A55,Foglio6!A:A,Foglio6!E:E,0),_xlfn.XLOOKUP(A55,Foglio6!A:A,Foglio6!F:F,0))</f>
        <v>0</v>
      </c>
      <c r="L55">
        <v>1</v>
      </c>
    </row>
    <row r="56" spans="1:13" x14ac:dyDescent="0.3">
      <c r="A56" t="s">
        <v>390</v>
      </c>
      <c r="B56" t="s">
        <v>104</v>
      </c>
      <c r="C56">
        <v>21</v>
      </c>
      <c r="D56" t="s">
        <v>16</v>
      </c>
      <c r="E56" t="s">
        <v>146</v>
      </c>
      <c r="F56">
        <v>5</v>
      </c>
      <c r="H56" s="6">
        <f>_xlfn.XLOOKUP(A56,Foglio6!A:A,Foglio6!B:B,0)</f>
        <v>16</v>
      </c>
      <c r="I56">
        <f>SUM(_xlfn.XLOOKUP(A56,Foglio6!A:A,Foglio6!E:E,0),_xlfn.XLOOKUP(A56,Foglio6!A:A,Foglio6!F:F,0))</f>
        <v>0</v>
      </c>
      <c r="L56"/>
    </row>
    <row r="57" spans="1:13" x14ac:dyDescent="0.3">
      <c r="A57" t="s">
        <v>406</v>
      </c>
      <c r="B57" t="s">
        <v>45</v>
      </c>
      <c r="C57">
        <v>26</v>
      </c>
      <c r="D57" t="s">
        <v>16</v>
      </c>
      <c r="E57" t="s">
        <v>111</v>
      </c>
      <c r="F57">
        <v>5</v>
      </c>
      <c r="H57" s="6">
        <f>_xlfn.XLOOKUP(A57,Foglio6!A:A,Foglio6!B:B,0)</f>
        <v>16</v>
      </c>
      <c r="I57">
        <f>SUM(_xlfn.XLOOKUP(A57,Foglio6!A:A,Foglio6!E:E,0),_xlfn.XLOOKUP(A57,Foglio6!A:A,Foglio6!F:F,0))</f>
        <v>0</v>
      </c>
      <c r="L57"/>
    </row>
    <row r="58" spans="1:13" x14ac:dyDescent="0.3">
      <c r="A58" s="10" t="s">
        <v>125</v>
      </c>
      <c r="B58" t="s">
        <v>7</v>
      </c>
      <c r="C58">
        <v>26</v>
      </c>
      <c r="D58" t="s">
        <v>16</v>
      </c>
      <c r="E58" t="s">
        <v>60</v>
      </c>
      <c r="F58">
        <v>21</v>
      </c>
      <c r="H58" s="6">
        <f>_xlfn.XLOOKUP(A58,Foglio6!A:A,Foglio6!B:B,0)</f>
        <v>15</v>
      </c>
      <c r="I58">
        <f>SUM(_xlfn.XLOOKUP(A58,Foglio6!A:A,Foglio6!E:E,0),_xlfn.XLOOKUP(A58,Foglio6!A:A,Foglio6!F:F,0))</f>
        <v>0</v>
      </c>
      <c r="L58">
        <v>2</v>
      </c>
      <c r="M58" s="2">
        <v>1</v>
      </c>
    </row>
    <row r="59" spans="1:13" x14ac:dyDescent="0.3">
      <c r="A59" t="s">
        <v>190</v>
      </c>
      <c r="B59" t="s">
        <v>11</v>
      </c>
      <c r="C59">
        <v>31</v>
      </c>
      <c r="D59" t="s">
        <v>16</v>
      </c>
      <c r="E59" t="s">
        <v>88</v>
      </c>
      <c r="F59">
        <v>13</v>
      </c>
      <c r="H59" s="6">
        <f>_xlfn.XLOOKUP(A59,Foglio6!A:A,Foglio6!B:B,0)</f>
        <v>15</v>
      </c>
      <c r="I59">
        <f>SUM(_xlfn.XLOOKUP(A59,Foglio6!A:A,Foglio6!E:E,0),_xlfn.XLOOKUP(A59,Foglio6!A:A,Foglio6!F:F,0))</f>
        <v>0</v>
      </c>
      <c r="L59">
        <v>1</v>
      </c>
    </row>
    <row r="60" spans="1:13" x14ac:dyDescent="0.3">
      <c r="A60" t="s">
        <v>254</v>
      </c>
      <c r="B60" t="s">
        <v>64</v>
      </c>
      <c r="C60">
        <v>27</v>
      </c>
      <c r="D60" t="s">
        <v>16</v>
      </c>
      <c r="E60" t="s">
        <v>88</v>
      </c>
      <c r="F60">
        <v>9</v>
      </c>
      <c r="H60" s="6">
        <f>_xlfn.XLOOKUP(A60,Foglio6!A:A,Foglio6!B:B,0)</f>
        <v>15</v>
      </c>
      <c r="I60">
        <f>SUM(_xlfn.XLOOKUP(A60,Foglio6!A:A,Foglio6!E:E,0),_xlfn.XLOOKUP(A60,Foglio6!A:A,Foglio6!F:F,0))</f>
        <v>0</v>
      </c>
      <c r="L60"/>
    </row>
    <row r="61" spans="1:13" x14ac:dyDescent="0.3">
      <c r="A61" t="s">
        <v>255</v>
      </c>
      <c r="B61" t="s">
        <v>29</v>
      </c>
      <c r="C61">
        <v>28</v>
      </c>
      <c r="D61" t="s">
        <v>16</v>
      </c>
      <c r="E61" t="s">
        <v>88</v>
      </c>
      <c r="F61">
        <v>9</v>
      </c>
      <c r="H61" s="6">
        <f>_xlfn.XLOOKUP(A61,Foglio6!A:A,Foglio6!B:B,0)</f>
        <v>15</v>
      </c>
      <c r="I61">
        <f>SUM(_xlfn.XLOOKUP(A61,Foglio6!A:A,Foglio6!E:E,0),_xlfn.XLOOKUP(A61,Foglio6!A:A,Foglio6!F:F,0))</f>
        <v>0</v>
      </c>
      <c r="L61">
        <v>2</v>
      </c>
    </row>
    <row r="62" spans="1:13" x14ac:dyDescent="0.3">
      <c r="A62" t="s">
        <v>361</v>
      </c>
      <c r="B62" t="s">
        <v>94</v>
      </c>
      <c r="C62">
        <v>27</v>
      </c>
      <c r="D62" t="s">
        <v>16</v>
      </c>
      <c r="E62" t="s">
        <v>131</v>
      </c>
      <c r="F62">
        <v>6</v>
      </c>
      <c r="H62" s="6">
        <f>_xlfn.XLOOKUP(A62,Foglio6!A:A,Foglio6!B:B,0)</f>
        <v>15</v>
      </c>
      <c r="I62">
        <f>SUM(_xlfn.XLOOKUP(A62,Foglio6!A:A,Foglio6!E:E,0),_xlfn.XLOOKUP(A62,Foglio6!A:A,Foglio6!F:F,0))</f>
        <v>0</v>
      </c>
      <c r="L62"/>
    </row>
    <row r="63" spans="1:13" x14ac:dyDescent="0.3">
      <c r="A63" t="s">
        <v>355</v>
      </c>
      <c r="B63" t="s">
        <v>157</v>
      </c>
      <c r="C63">
        <v>25</v>
      </c>
      <c r="D63" t="s">
        <v>16</v>
      </c>
      <c r="E63" t="s">
        <v>131</v>
      </c>
      <c r="F63">
        <v>6</v>
      </c>
      <c r="H63" s="6">
        <f>_xlfn.XLOOKUP(A63,Foglio6!A:A,Foglio6!B:B,0)</f>
        <v>15</v>
      </c>
      <c r="I63">
        <f>SUM(_xlfn.XLOOKUP(A63,Foglio6!A:A,Foglio6!E:E,0),_xlfn.XLOOKUP(A63,Foglio6!A:A,Foglio6!F:F,0))</f>
        <v>0</v>
      </c>
      <c r="L63">
        <v>1</v>
      </c>
    </row>
    <row r="64" spans="1:13" x14ac:dyDescent="0.3">
      <c r="A64" t="s">
        <v>345</v>
      </c>
      <c r="B64" t="s">
        <v>104</v>
      </c>
      <c r="C64">
        <v>29</v>
      </c>
      <c r="D64" t="s">
        <v>16</v>
      </c>
      <c r="E64" t="s">
        <v>111</v>
      </c>
      <c r="F64">
        <v>6</v>
      </c>
      <c r="H64" s="6">
        <f>_xlfn.XLOOKUP(A64,Foglio6!A:A,Foglio6!B:B,0)</f>
        <v>15</v>
      </c>
      <c r="I64">
        <f>SUM(_xlfn.XLOOKUP(A64,Foglio6!A:A,Foglio6!E:E,0),_xlfn.XLOOKUP(A64,Foglio6!A:A,Foglio6!F:F,0))</f>
        <v>0</v>
      </c>
      <c r="L64"/>
    </row>
    <row r="65" spans="1:12" x14ac:dyDescent="0.3">
      <c r="A65" t="s">
        <v>203</v>
      </c>
      <c r="B65" t="s">
        <v>14</v>
      </c>
      <c r="C65">
        <v>33</v>
      </c>
      <c r="D65" t="s">
        <v>16</v>
      </c>
      <c r="E65" t="s">
        <v>188</v>
      </c>
      <c r="F65">
        <v>12</v>
      </c>
      <c r="H65" s="6">
        <f>_xlfn.XLOOKUP(A65,Foglio6!A:A,Foglio6!B:B,0)</f>
        <v>14</v>
      </c>
      <c r="I65">
        <f>SUM(_xlfn.XLOOKUP(A65,Foglio6!A:A,Foglio6!E:E,0),_xlfn.XLOOKUP(A65,Foglio6!A:A,Foglio6!F:F,0))</f>
        <v>0</v>
      </c>
      <c r="L65">
        <v>1</v>
      </c>
    </row>
    <row r="66" spans="1:12" x14ac:dyDescent="0.3">
      <c r="A66" t="s">
        <v>204</v>
      </c>
      <c r="B66" t="s">
        <v>39</v>
      </c>
      <c r="C66">
        <v>34</v>
      </c>
      <c r="D66" t="s">
        <v>16</v>
      </c>
      <c r="E66" t="s">
        <v>131</v>
      </c>
      <c r="F66">
        <v>12</v>
      </c>
      <c r="H66" s="6">
        <f>_xlfn.XLOOKUP(A66,Foglio6!A:A,Foglio6!B:B,0)</f>
        <v>14</v>
      </c>
      <c r="I66">
        <f>SUM(_xlfn.XLOOKUP(A66,Foglio6!A:A,Foglio6!E:E,0),_xlfn.XLOOKUP(A66,Foglio6!A:A,Foglio6!F:F,0))</f>
        <v>0</v>
      </c>
      <c r="L66">
        <v>1</v>
      </c>
    </row>
    <row r="67" spans="1:12" x14ac:dyDescent="0.3">
      <c r="A67" t="s">
        <v>231</v>
      </c>
      <c r="B67" t="s">
        <v>31</v>
      </c>
      <c r="C67">
        <v>21</v>
      </c>
      <c r="D67" t="s">
        <v>16</v>
      </c>
      <c r="E67" t="s">
        <v>146</v>
      </c>
      <c r="F67">
        <v>10</v>
      </c>
      <c r="H67" s="6">
        <f>_xlfn.XLOOKUP(A67,Foglio6!A:A,Foglio6!B:B,0)</f>
        <v>14</v>
      </c>
      <c r="I67">
        <f>SUM(_xlfn.XLOOKUP(A67,Foglio6!A:A,Foglio6!E:E,0),_xlfn.XLOOKUP(A67,Foglio6!A:A,Foglio6!F:F,0))</f>
        <v>0</v>
      </c>
      <c r="L67">
        <v>1</v>
      </c>
    </row>
    <row r="68" spans="1:12" x14ac:dyDescent="0.3">
      <c r="A68" t="s">
        <v>348</v>
      </c>
      <c r="B68" t="s">
        <v>33</v>
      </c>
      <c r="C68">
        <v>23</v>
      </c>
      <c r="D68" t="s">
        <v>16</v>
      </c>
      <c r="E68" t="s">
        <v>88</v>
      </c>
      <c r="F68">
        <v>6</v>
      </c>
      <c r="H68" s="6">
        <f>_xlfn.XLOOKUP(A68,Foglio6!A:A,Foglio6!B:B,0)</f>
        <v>14</v>
      </c>
      <c r="I68">
        <f>SUM(_xlfn.XLOOKUP(A68,Foglio6!A:A,Foglio6!E:E,0),_xlfn.XLOOKUP(A68,Foglio6!A:A,Foglio6!F:F,0))</f>
        <v>0</v>
      </c>
      <c r="L68"/>
    </row>
    <row r="69" spans="1:12" x14ac:dyDescent="0.3">
      <c r="A69" t="s">
        <v>353</v>
      </c>
      <c r="B69" t="s">
        <v>178</v>
      </c>
      <c r="C69">
        <v>29</v>
      </c>
      <c r="D69" t="s">
        <v>16</v>
      </c>
      <c r="E69" t="s">
        <v>88</v>
      </c>
      <c r="F69">
        <v>6</v>
      </c>
      <c r="H69" s="6">
        <f>_xlfn.XLOOKUP(A69,Foglio6!A:A,Foglio6!B:B,0)</f>
        <v>13</v>
      </c>
      <c r="I69">
        <f>SUM(_xlfn.XLOOKUP(A69,Foglio6!A:A,Foglio6!E:E,0),_xlfn.XLOOKUP(A69,Foglio6!A:A,Foglio6!F:F,0))</f>
        <v>0</v>
      </c>
      <c r="L69"/>
    </row>
    <row r="70" spans="1:12" x14ac:dyDescent="0.3">
      <c r="A70" t="s">
        <v>358</v>
      </c>
      <c r="B70" t="s">
        <v>94</v>
      </c>
      <c r="C70">
        <v>33</v>
      </c>
      <c r="D70" t="s">
        <v>16</v>
      </c>
      <c r="E70" t="s">
        <v>188</v>
      </c>
      <c r="F70">
        <v>6</v>
      </c>
      <c r="H70" s="6">
        <f>_xlfn.XLOOKUP(A70,Foglio6!A:A,Foglio6!B:B,0)</f>
        <v>13</v>
      </c>
      <c r="I70">
        <f>SUM(_xlfn.XLOOKUP(A70,Foglio6!A:A,Foglio6!E:E,0),_xlfn.XLOOKUP(A70,Foglio6!A:A,Foglio6!F:F,0))</f>
        <v>0</v>
      </c>
      <c r="L70"/>
    </row>
    <row r="71" spans="1:12" x14ac:dyDescent="0.3">
      <c r="A71" t="s">
        <v>351</v>
      </c>
      <c r="B71" t="s">
        <v>94</v>
      </c>
      <c r="C71">
        <v>23</v>
      </c>
      <c r="D71" t="s">
        <v>16</v>
      </c>
      <c r="E71" t="s">
        <v>88</v>
      </c>
      <c r="F71">
        <v>6</v>
      </c>
      <c r="H71" s="6">
        <f>_xlfn.XLOOKUP(A71,Foglio6!A:A,Foglio6!B:B,0)</f>
        <v>13</v>
      </c>
      <c r="I71">
        <f>SUM(_xlfn.XLOOKUP(A71,Foglio6!A:A,Foglio6!E:E,0),_xlfn.XLOOKUP(A71,Foglio6!A:A,Foglio6!F:F,0))</f>
        <v>0</v>
      </c>
      <c r="L71"/>
    </row>
    <row r="72" spans="1:12" x14ac:dyDescent="0.3">
      <c r="A72" t="s">
        <v>402</v>
      </c>
      <c r="B72" t="s">
        <v>115</v>
      </c>
      <c r="C72">
        <v>27</v>
      </c>
      <c r="D72" t="s">
        <v>16</v>
      </c>
      <c r="E72" t="s">
        <v>88</v>
      </c>
      <c r="F72">
        <v>5</v>
      </c>
      <c r="H72" s="6">
        <f>_xlfn.XLOOKUP(A72,Foglio6!A:A,Foglio6!B:B,0)</f>
        <v>13</v>
      </c>
      <c r="I72">
        <f>SUM(_xlfn.XLOOKUP(A72,Foglio6!A:A,Foglio6!E:E,0),_xlfn.XLOOKUP(A72,Foglio6!A:A,Foglio6!F:F,0))</f>
        <v>0</v>
      </c>
      <c r="L72"/>
    </row>
    <row r="73" spans="1:12" x14ac:dyDescent="0.3">
      <c r="A73" t="s">
        <v>387</v>
      </c>
      <c r="B73" t="s">
        <v>74</v>
      </c>
      <c r="C73">
        <v>23</v>
      </c>
      <c r="D73" t="s">
        <v>16</v>
      </c>
      <c r="E73" t="s">
        <v>188</v>
      </c>
      <c r="F73">
        <v>5</v>
      </c>
      <c r="H73" s="6">
        <f>_xlfn.XLOOKUP(A73,Foglio6!A:A,Foglio6!B:B,0)</f>
        <v>12.5</v>
      </c>
      <c r="I73">
        <f>SUM(_xlfn.XLOOKUP(A73,Foglio6!A:A,Foglio6!E:E,0),_xlfn.XLOOKUP(A73,Foglio6!A:A,Foglio6!F:F,0))</f>
        <v>0</v>
      </c>
      <c r="L73">
        <v>1</v>
      </c>
    </row>
    <row r="74" spans="1:12" x14ac:dyDescent="0.3">
      <c r="A74" t="s">
        <v>138</v>
      </c>
      <c r="B74" t="s">
        <v>7</v>
      </c>
      <c r="C74">
        <v>32</v>
      </c>
      <c r="D74" t="s">
        <v>16</v>
      </c>
      <c r="E74" t="s">
        <v>88</v>
      </c>
      <c r="F74">
        <v>19</v>
      </c>
      <c r="H74" s="6">
        <f>_xlfn.XLOOKUP(A74,Foglio6!A:A,Foglio6!B:B,0)</f>
        <v>12</v>
      </c>
      <c r="I74">
        <f>SUM(_xlfn.XLOOKUP(A74,Foglio6!A:A,Foglio6!E:E,0),_xlfn.XLOOKUP(A74,Foglio6!A:A,Foglio6!F:F,0))</f>
        <v>0</v>
      </c>
      <c r="L74">
        <v>1</v>
      </c>
    </row>
    <row r="75" spans="1:12" x14ac:dyDescent="0.3">
      <c r="A75" t="s">
        <v>199</v>
      </c>
      <c r="B75" t="s">
        <v>19</v>
      </c>
      <c r="C75">
        <v>23</v>
      </c>
      <c r="D75" t="s">
        <v>16</v>
      </c>
      <c r="E75" t="s">
        <v>188</v>
      </c>
      <c r="F75">
        <v>12</v>
      </c>
      <c r="H75" s="6">
        <f>_xlfn.XLOOKUP(A75,Foglio6!A:A,Foglio6!B:B,0)</f>
        <v>12</v>
      </c>
      <c r="I75">
        <f>SUM(_xlfn.XLOOKUP(A75,Foglio6!A:A,Foglio6!E:E,0),_xlfn.XLOOKUP(A75,Foglio6!A:A,Foglio6!F:F,0))</f>
        <v>0</v>
      </c>
      <c r="L75">
        <v>2</v>
      </c>
    </row>
    <row r="76" spans="1:12" x14ac:dyDescent="0.3">
      <c r="A76" t="s">
        <v>388</v>
      </c>
      <c r="B76" t="s">
        <v>64</v>
      </c>
      <c r="C76">
        <v>28</v>
      </c>
      <c r="D76" t="s">
        <v>16</v>
      </c>
      <c r="E76" t="s">
        <v>88</v>
      </c>
      <c r="F76">
        <v>5</v>
      </c>
      <c r="H76" s="6">
        <f>_xlfn.XLOOKUP(A76,Foglio6!A:A,Foglio6!B:B,0)</f>
        <v>12</v>
      </c>
      <c r="I76">
        <f>SUM(_xlfn.XLOOKUP(A76,Foglio6!A:A,Foglio6!E:E,0),_xlfn.XLOOKUP(A76,Foglio6!A:A,Foglio6!F:F,0))</f>
        <v>0</v>
      </c>
      <c r="L76"/>
    </row>
    <row r="77" spans="1:12" x14ac:dyDescent="0.3">
      <c r="A77" t="s">
        <v>250</v>
      </c>
      <c r="B77" t="s">
        <v>39</v>
      </c>
      <c r="C77">
        <v>23</v>
      </c>
      <c r="D77" t="s">
        <v>16</v>
      </c>
      <c r="E77" t="s">
        <v>188</v>
      </c>
      <c r="F77">
        <v>9</v>
      </c>
      <c r="H77" s="6">
        <f>_xlfn.XLOOKUP(A77,Foglio6!A:A,Foglio6!B:B,0)</f>
        <v>11</v>
      </c>
      <c r="I77">
        <f>SUM(_xlfn.XLOOKUP(A77,Foglio6!A:A,Foglio6!E:E,0),_xlfn.XLOOKUP(A77,Foglio6!A:A,Foglio6!F:F,0))</f>
        <v>0</v>
      </c>
      <c r="L77">
        <v>1</v>
      </c>
    </row>
    <row r="78" spans="1:12" x14ac:dyDescent="0.3">
      <c r="A78" t="s">
        <v>257</v>
      </c>
      <c r="B78" t="s">
        <v>64</v>
      </c>
      <c r="C78">
        <v>30</v>
      </c>
      <c r="D78" t="s">
        <v>16</v>
      </c>
      <c r="E78" t="s">
        <v>88</v>
      </c>
      <c r="F78">
        <v>9</v>
      </c>
      <c r="H78" s="6">
        <f>_xlfn.XLOOKUP(A78,Foglio6!A:A,Foglio6!B:B,0)</f>
        <v>11</v>
      </c>
      <c r="I78">
        <f>SUM(_xlfn.XLOOKUP(A78,Foglio6!A:A,Foglio6!E:E,0),_xlfn.XLOOKUP(A78,Foglio6!A:A,Foglio6!F:F,0))</f>
        <v>0</v>
      </c>
      <c r="L78"/>
    </row>
    <row r="79" spans="1:12" x14ac:dyDescent="0.3">
      <c r="A79" t="s">
        <v>274</v>
      </c>
      <c r="B79" t="s">
        <v>45</v>
      </c>
      <c r="C79">
        <v>22</v>
      </c>
      <c r="D79" t="s">
        <v>16</v>
      </c>
      <c r="E79" t="s">
        <v>188</v>
      </c>
      <c r="F79">
        <v>8</v>
      </c>
      <c r="H79" s="6">
        <f>_xlfn.XLOOKUP(A79,Foglio6!A:A,Foglio6!B:B,0)</f>
        <v>11</v>
      </c>
      <c r="I79">
        <f>SUM(_xlfn.XLOOKUP(A79,Foglio6!A:A,Foglio6!E:E,0),_xlfn.XLOOKUP(A79,Foglio6!A:A,Foglio6!F:F,0))</f>
        <v>0</v>
      </c>
      <c r="L79"/>
    </row>
    <row r="80" spans="1:12" x14ac:dyDescent="0.3">
      <c r="A80" t="s">
        <v>280</v>
      </c>
      <c r="B80" t="s">
        <v>55</v>
      </c>
      <c r="C80">
        <v>30</v>
      </c>
      <c r="D80" t="s">
        <v>16</v>
      </c>
      <c r="E80" t="s">
        <v>188</v>
      </c>
      <c r="F80">
        <v>8</v>
      </c>
      <c r="H80" s="6">
        <f>_xlfn.XLOOKUP(A80,Foglio6!A:A,Foglio6!B:B,0)</f>
        <v>11</v>
      </c>
      <c r="I80">
        <f>SUM(_xlfn.XLOOKUP(A80,Foglio6!A:A,Foglio6!E:E,0),_xlfn.XLOOKUP(A80,Foglio6!A:A,Foglio6!F:F,0))</f>
        <v>0</v>
      </c>
      <c r="L80">
        <v>1</v>
      </c>
    </row>
    <row r="81" spans="1:12" x14ac:dyDescent="0.3">
      <c r="A81" t="s">
        <v>365</v>
      </c>
      <c r="B81" t="s">
        <v>142</v>
      </c>
      <c r="C81">
        <v>27</v>
      </c>
      <c r="D81" t="s">
        <v>16</v>
      </c>
      <c r="E81" t="s">
        <v>88</v>
      </c>
      <c r="F81">
        <v>6</v>
      </c>
      <c r="H81" s="6">
        <f>_xlfn.XLOOKUP(A81,Foglio6!A:A,Foglio6!B:B,0)</f>
        <v>11</v>
      </c>
      <c r="I81">
        <f>SUM(_xlfn.XLOOKUP(A81,Foglio6!A:A,Foglio6!E:E,0),_xlfn.XLOOKUP(A81,Foglio6!A:A,Foglio6!F:F,0))</f>
        <v>0</v>
      </c>
      <c r="L81"/>
    </row>
    <row r="82" spans="1:12" x14ac:dyDescent="0.3">
      <c r="A82" t="s">
        <v>392</v>
      </c>
      <c r="B82" t="s">
        <v>142</v>
      </c>
      <c r="C82">
        <v>20</v>
      </c>
      <c r="D82" t="s">
        <v>16</v>
      </c>
      <c r="E82" t="s">
        <v>111</v>
      </c>
      <c r="F82">
        <v>5</v>
      </c>
      <c r="H82" s="6">
        <f>_xlfn.XLOOKUP(A82,Foglio6!A:A,Foglio6!B:B,0)</f>
        <v>11</v>
      </c>
      <c r="I82">
        <f>SUM(_xlfn.XLOOKUP(A82,Foglio6!A:A,Foglio6!E:E,0),_xlfn.XLOOKUP(A82,Foglio6!A:A,Foglio6!F:F,0))</f>
        <v>0</v>
      </c>
      <c r="L82"/>
    </row>
    <row r="83" spans="1:12" x14ac:dyDescent="0.3">
      <c r="A83" t="s">
        <v>394</v>
      </c>
      <c r="B83" t="s">
        <v>55</v>
      </c>
      <c r="C83">
        <v>23</v>
      </c>
      <c r="D83" t="s">
        <v>16</v>
      </c>
      <c r="E83" t="s">
        <v>88</v>
      </c>
      <c r="F83">
        <v>5</v>
      </c>
      <c r="H83" s="6">
        <f>_xlfn.XLOOKUP(A83,Foglio6!A:A,Foglio6!B:B,0)</f>
        <v>11</v>
      </c>
      <c r="I83">
        <f>SUM(_xlfn.XLOOKUP(A83,Foglio6!A:A,Foglio6!E:E,0),_xlfn.XLOOKUP(A83,Foglio6!A:A,Foglio6!F:F,0))</f>
        <v>0</v>
      </c>
      <c r="L83"/>
    </row>
    <row r="84" spans="1:12" x14ac:dyDescent="0.3">
      <c r="A84" t="s">
        <v>422</v>
      </c>
      <c r="B84" t="s">
        <v>157</v>
      </c>
      <c r="C84">
        <v>31</v>
      </c>
      <c r="D84" t="s">
        <v>16</v>
      </c>
      <c r="E84" t="s">
        <v>88</v>
      </c>
      <c r="F84">
        <v>4</v>
      </c>
      <c r="H84" s="6">
        <f>_xlfn.XLOOKUP(A84,Foglio6!A:A,Foglio6!B:B,0)</f>
        <v>11</v>
      </c>
      <c r="I84">
        <f>SUM(_xlfn.XLOOKUP(A84,Foglio6!A:A,Foglio6!E:E,0),_xlfn.XLOOKUP(A84,Foglio6!A:A,Foglio6!F:F,0))</f>
        <v>0</v>
      </c>
      <c r="L84">
        <v>2</v>
      </c>
    </row>
    <row r="85" spans="1:12" x14ac:dyDescent="0.3">
      <c r="A85" t="s">
        <v>187</v>
      </c>
      <c r="B85" t="s">
        <v>25</v>
      </c>
      <c r="C85">
        <v>21</v>
      </c>
      <c r="D85" t="s">
        <v>16</v>
      </c>
      <c r="E85" t="s">
        <v>188</v>
      </c>
      <c r="F85">
        <v>13</v>
      </c>
      <c r="H85" s="6">
        <f>_xlfn.XLOOKUP(A85,Foglio6!A:A,Foglio6!B:B,0)</f>
        <v>10</v>
      </c>
      <c r="I85">
        <f>SUM(_xlfn.XLOOKUP(A85,Foglio6!A:A,Foglio6!E:E,0),_xlfn.XLOOKUP(A85,Foglio6!A:A,Foglio6!F:F,0))</f>
        <v>0</v>
      </c>
      <c r="L85"/>
    </row>
    <row r="86" spans="1:12" x14ac:dyDescent="0.3">
      <c r="A86" t="s">
        <v>313</v>
      </c>
      <c r="B86" t="s">
        <v>14</v>
      </c>
      <c r="C86">
        <v>28</v>
      </c>
      <c r="D86" t="s">
        <v>16</v>
      </c>
      <c r="E86" t="s">
        <v>88</v>
      </c>
      <c r="F86">
        <v>7</v>
      </c>
      <c r="H86" s="6">
        <f>_xlfn.XLOOKUP(A86,Foglio6!A:A,Foglio6!B:B,0)</f>
        <v>10</v>
      </c>
      <c r="I86">
        <f>SUM(_xlfn.XLOOKUP(A86,Foglio6!A:A,Foglio6!E:E,0),_xlfn.XLOOKUP(A86,Foglio6!A:A,Foglio6!F:F,0))</f>
        <v>0</v>
      </c>
      <c r="L86"/>
    </row>
    <row r="87" spans="1:12" x14ac:dyDescent="0.3">
      <c r="A87" t="s">
        <v>344</v>
      </c>
      <c r="B87" t="s">
        <v>157</v>
      </c>
      <c r="C87">
        <v>23</v>
      </c>
      <c r="D87" t="s">
        <v>16</v>
      </c>
      <c r="E87" t="s">
        <v>146</v>
      </c>
      <c r="F87">
        <v>6</v>
      </c>
      <c r="H87" s="6">
        <f>_xlfn.XLOOKUP(A87,Foglio6!A:A,Foglio6!B:B,0)</f>
        <v>10</v>
      </c>
      <c r="I87">
        <f>SUM(_xlfn.XLOOKUP(A87,Foglio6!A:A,Foglio6!E:E,0),_xlfn.XLOOKUP(A87,Foglio6!A:A,Foglio6!F:F,0))</f>
        <v>0</v>
      </c>
      <c r="L87"/>
    </row>
    <row r="88" spans="1:12" x14ac:dyDescent="0.3">
      <c r="A88" t="s">
        <v>363</v>
      </c>
      <c r="B88" t="s">
        <v>157</v>
      </c>
      <c r="C88">
        <v>27</v>
      </c>
      <c r="D88" t="s">
        <v>16</v>
      </c>
      <c r="E88" t="s">
        <v>188</v>
      </c>
      <c r="F88">
        <v>6</v>
      </c>
      <c r="H88" s="6">
        <f>_xlfn.XLOOKUP(A88,Foglio6!A:A,Foglio6!B:B,0)</f>
        <v>10</v>
      </c>
      <c r="I88">
        <f>SUM(_xlfn.XLOOKUP(A88,Foglio6!A:A,Foglio6!E:E,0),_xlfn.XLOOKUP(A88,Foglio6!A:A,Foglio6!F:F,0))</f>
        <v>0</v>
      </c>
      <c r="L88"/>
    </row>
    <row r="89" spans="1:12" x14ac:dyDescent="0.3">
      <c r="A89" t="s">
        <v>429</v>
      </c>
      <c r="B89" t="s">
        <v>94</v>
      </c>
      <c r="C89">
        <v>24</v>
      </c>
      <c r="D89" t="s">
        <v>16</v>
      </c>
      <c r="E89" t="s">
        <v>131</v>
      </c>
      <c r="F89">
        <v>4</v>
      </c>
      <c r="H89" s="6">
        <f>_xlfn.XLOOKUP(A89,Foglio6!A:A,Foglio6!B:B,0)</f>
        <v>10</v>
      </c>
      <c r="I89">
        <f>SUM(_xlfn.XLOOKUP(A89,Foglio6!A:A,Foglio6!E:E,0),_xlfn.XLOOKUP(A89,Foglio6!A:A,Foglio6!F:F,0))</f>
        <v>0</v>
      </c>
      <c r="L89">
        <v>1</v>
      </c>
    </row>
    <row r="90" spans="1:12" x14ac:dyDescent="0.3">
      <c r="A90" t="s">
        <v>200</v>
      </c>
      <c r="B90" t="s">
        <v>31</v>
      </c>
      <c r="C90">
        <v>21</v>
      </c>
      <c r="D90" t="s">
        <v>16</v>
      </c>
      <c r="E90" t="s">
        <v>174</v>
      </c>
      <c r="F90">
        <v>12</v>
      </c>
      <c r="H90" s="6">
        <f>_xlfn.XLOOKUP(A90,Foglio6!A:A,Foglio6!B:B,0)</f>
        <v>9</v>
      </c>
      <c r="I90">
        <f>SUM(_xlfn.XLOOKUP(A90,Foglio6!A:A,Foglio6!E:E,0),_xlfn.XLOOKUP(A90,Foglio6!A:A,Foglio6!F:F,0))</f>
        <v>0</v>
      </c>
      <c r="L90"/>
    </row>
    <row r="91" spans="1:12" x14ac:dyDescent="0.3">
      <c r="A91" s="10" t="s">
        <v>144</v>
      </c>
      <c r="B91" t="s">
        <v>7</v>
      </c>
      <c r="C91">
        <v>26</v>
      </c>
      <c r="D91" t="s">
        <v>16</v>
      </c>
      <c r="E91" t="s">
        <v>88</v>
      </c>
      <c r="F91">
        <v>17</v>
      </c>
      <c r="H91" s="6">
        <f>_xlfn.XLOOKUP(A91,Foglio6!A:A,Foglio6!B:B,0)</f>
        <v>8</v>
      </c>
      <c r="I91">
        <f>SUM(_xlfn.XLOOKUP(A91,Foglio6!A:A,Foglio6!E:E,0),_xlfn.XLOOKUP(A91,Foglio6!A:A,Foglio6!F:F,0))</f>
        <v>0</v>
      </c>
      <c r="L91">
        <v>2</v>
      </c>
    </row>
    <row r="92" spans="1:12" x14ac:dyDescent="0.3">
      <c r="A92" t="s">
        <v>205</v>
      </c>
      <c r="B92" t="s">
        <v>55</v>
      </c>
      <c r="C92">
        <v>31</v>
      </c>
      <c r="D92" t="s">
        <v>16</v>
      </c>
      <c r="E92" t="s">
        <v>88</v>
      </c>
      <c r="F92">
        <v>12</v>
      </c>
      <c r="H92" s="6">
        <f>_xlfn.XLOOKUP(A92,Foglio6!A:A,Foglio6!B:B,0)</f>
        <v>8</v>
      </c>
      <c r="I92">
        <f>SUM(_xlfn.XLOOKUP(A92,Foglio6!A:A,Foglio6!E:E,0),_xlfn.XLOOKUP(A92,Foglio6!A:A,Foglio6!F:F,0))</f>
        <v>0</v>
      </c>
      <c r="L92"/>
    </row>
    <row r="93" spans="1:12" x14ac:dyDescent="0.3">
      <c r="A93" t="s">
        <v>256</v>
      </c>
      <c r="B93" t="s">
        <v>55</v>
      </c>
      <c r="C93">
        <v>26</v>
      </c>
      <c r="D93" t="s">
        <v>16</v>
      </c>
      <c r="E93" t="s">
        <v>188</v>
      </c>
      <c r="F93">
        <v>9</v>
      </c>
      <c r="H93" s="6">
        <f>_xlfn.XLOOKUP(A93,Foglio6!A:A,Foglio6!B:B,0)</f>
        <v>8</v>
      </c>
      <c r="I93">
        <f>SUM(_xlfn.XLOOKUP(A93,Foglio6!A:A,Foglio6!E:E,0),_xlfn.XLOOKUP(A93,Foglio6!A:A,Foglio6!F:F,0))</f>
        <v>0</v>
      </c>
      <c r="L93"/>
    </row>
    <row r="94" spans="1:12" x14ac:dyDescent="0.3">
      <c r="A94" t="s">
        <v>252</v>
      </c>
      <c r="B94" t="s">
        <v>19</v>
      </c>
      <c r="C94">
        <v>22</v>
      </c>
      <c r="D94" t="s">
        <v>16</v>
      </c>
      <c r="E94" t="s">
        <v>188</v>
      </c>
      <c r="F94">
        <v>9</v>
      </c>
      <c r="H94" s="6">
        <f>_xlfn.XLOOKUP(A94,Foglio6!A:A,Foglio6!B:B,0)</f>
        <v>8</v>
      </c>
      <c r="I94">
        <f>SUM(_xlfn.XLOOKUP(A94,Foglio6!A:A,Foglio6!E:E,0),_xlfn.XLOOKUP(A94,Foglio6!A:A,Foglio6!F:F,0))</f>
        <v>0</v>
      </c>
      <c r="L94">
        <v>1</v>
      </c>
    </row>
    <row r="95" spans="1:12" x14ac:dyDescent="0.3">
      <c r="A95" t="s">
        <v>277</v>
      </c>
      <c r="B95" t="s">
        <v>39</v>
      </c>
      <c r="C95">
        <v>18</v>
      </c>
      <c r="D95" t="s">
        <v>16</v>
      </c>
      <c r="E95" t="s">
        <v>171</v>
      </c>
      <c r="F95">
        <v>8</v>
      </c>
      <c r="H95" s="6">
        <f>_xlfn.XLOOKUP(A95,Foglio6!A:A,Foglio6!B:B,0)</f>
        <v>8</v>
      </c>
      <c r="I95">
        <f>SUM(_xlfn.XLOOKUP(A95,Foglio6!A:A,Foglio6!E:E,0),_xlfn.XLOOKUP(A95,Foglio6!A:A,Foglio6!F:F,0))</f>
        <v>0</v>
      </c>
      <c r="L95"/>
    </row>
    <row r="96" spans="1:12" x14ac:dyDescent="0.3">
      <c r="A96" t="s">
        <v>350</v>
      </c>
      <c r="B96" t="s">
        <v>45</v>
      </c>
      <c r="C96">
        <v>28</v>
      </c>
      <c r="D96" t="s">
        <v>16</v>
      </c>
      <c r="E96" t="s">
        <v>146</v>
      </c>
      <c r="F96">
        <v>6</v>
      </c>
      <c r="H96" s="6">
        <f>_xlfn.XLOOKUP(A96,Foglio6!A:A,Foglio6!B:B,0)</f>
        <v>8</v>
      </c>
      <c r="I96">
        <f>SUM(_xlfn.XLOOKUP(A96,Foglio6!A:A,Foglio6!E:E,0),_xlfn.XLOOKUP(A96,Foglio6!A:A,Foglio6!F:F,0))</f>
        <v>0</v>
      </c>
      <c r="L96"/>
    </row>
    <row r="97" spans="1:12" x14ac:dyDescent="0.3">
      <c r="A97" t="s">
        <v>397</v>
      </c>
      <c r="B97" t="s">
        <v>45</v>
      </c>
      <c r="C97">
        <v>24</v>
      </c>
      <c r="D97" t="s">
        <v>16</v>
      </c>
      <c r="E97" t="s">
        <v>188</v>
      </c>
      <c r="F97">
        <v>5</v>
      </c>
      <c r="H97" s="6">
        <f>_xlfn.XLOOKUP(A97,Foglio6!A:A,Foglio6!B:B,0)</f>
        <v>8</v>
      </c>
      <c r="I97">
        <f>SUM(_xlfn.XLOOKUP(A97,Foglio6!A:A,Foglio6!E:E,0),_xlfn.XLOOKUP(A97,Foglio6!A:A,Foglio6!F:F,0))</f>
        <v>0</v>
      </c>
      <c r="L97">
        <v>1</v>
      </c>
    </row>
    <row r="98" spans="1:12" x14ac:dyDescent="0.3">
      <c r="A98" t="s">
        <v>405</v>
      </c>
      <c r="B98" t="s">
        <v>104</v>
      </c>
      <c r="C98">
        <v>27</v>
      </c>
      <c r="D98" t="s">
        <v>16</v>
      </c>
      <c r="E98" t="s">
        <v>215</v>
      </c>
      <c r="F98">
        <v>5</v>
      </c>
      <c r="H98" s="6">
        <f>_xlfn.XLOOKUP(A98,Foglio6!A:A,Foglio6!B:B,0)</f>
        <v>8</v>
      </c>
      <c r="I98">
        <f>SUM(_xlfn.XLOOKUP(A98,Foglio6!A:A,Foglio6!E:E,0),_xlfn.XLOOKUP(A98,Foglio6!A:A,Foglio6!F:F,0))</f>
        <v>0</v>
      </c>
      <c r="L98"/>
    </row>
    <row r="99" spans="1:12" x14ac:dyDescent="0.3">
      <c r="A99" t="s">
        <v>485</v>
      </c>
      <c r="B99" t="s">
        <v>142</v>
      </c>
      <c r="C99">
        <v>20</v>
      </c>
      <c r="D99" t="s">
        <v>16</v>
      </c>
      <c r="E99" t="s">
        <v>131</v>
      </c>
      <c r="F99">
        <v>2</v>
      </c>
      <c r="H99" s="6">
        <f>_xlfn.XLOOKUP(A99,Foglio6!A:A,Foglio6!B:B,0)</f>
        <v>8</v>
      </c>
      <c r="I99">
        <f>SUM(_xlfn.XLOOKUP(A99,Foglio6!A:A,Foglio6!E:E,0),_xlfn.XLOOKUP(A99,Foglio6!A:A,Foglio6!F:F,0))</f>
        <v>0</v>
      </c>
      <c r="L99"/>
    </row>
    <row r="100" spans="1:12" x14ac:dyDescent="0.3">
      <c r="A100" t="s">
        <v>525</v>
      </c>
      <c r="B100" t="s">
        <v>45</v>
      </c>
      <c r="C100">
        <v>22</v>
      </c>
      <c r="D100" t="s">
        <v>16</v>
      </c>
      <c r="E100" t="s">
        <v>131</v>
      </c>
      <c r="F100">
        <v>1</v>
      </c>
      <c r="H100" s="6">
        <f>_xlfn.XLOOKUP(A100,Foglio6!A:A,Foglio6!B:B,0)</f>
        <v>8</v>
      </c>
      <c r="I100">
        <f>SUM(_xlfn.XLOOKUP(A100,Foglio6!A:A,Foglio6!E:E,0),_xlfn.XLOOKUP(A100,Foglio6!A:A,Foglio6!F:F,0))</f>
        <v>0</v>
      </c>
      <c r="L100"/>
    </row>
    <row r="101" spans="1:12" x14ac:dyDescent="0.3">
      <c r="A101" t="s">
        <v>352</v>
      </c>
      <c r="B101" t="s">
        <v>142</v>
      </c>
      <c r="C101">
        <v>23</v>
      </c>
      <c r="D101" t="s">
        <v>16</v>
      </c>
      <c r="E101" t="s">
        <v>88</v>
      </c>
      <c r="F101">
        <v>6</v>
      </c>
      <c r="H101" s="6">
        <f>_xlfn.XLOOKUP(A101,Foglio6!A:A,Foglio6!B:B,0)</f>
        <v>7</v>
      </c>
      <c r="I101">
        <f>SUM(_xlfn.XLOOKUP(A101,Foglio6!A:A,Foglio6!E:E,0),_xlfn.XLOOKUP(A101,Foglio6!A:A,Foglio6!F:F,0))</f>
        <v>0</v>
      </c>
      <c r="L101"/>
    </row>
    <row r="102" spans="1:12" x14ac:dyDescent="0.3">
      <c r="A102" t="s">
        <v>346</v>
      </c>
      <c r="B102" t="s">
        <v>178</v>
      </c>
      <c r="C102">
        <v>24</v>
      </c>
      <c r="D102" t="s">
        <v>16</v>
      </c>
      <c r="E102" t="s">
        <v>88</v>
      </c>
      <c r="F102">
        <v>6</v>
      </c>
      <c r="H102" s="6">
        <f>_xlfn.XLOOKUP(A102,Foglio6!A:A,Foglio6!B:B,0)</f>
        <v>7</v>
      </c>
      <c r="I102">
        <f>SUM(_xlfn.XLOOKUP(A102,Foglio6!A:A,Foglio6!E:E,0),_xlfn.XLOOKUP(A102,Foglio6!A:A,Foglio6!F:F,0))</f>
        <v>0</v>
      </c>
      <c r="L102"/>
    </row>
    <row r="103" spans="1:12" x14ac:dyDescent="0.3">
      <c r="A103" t="s">
        <v>161</v>
      </c>
      <c r="B103" t="s">
        <v>31</v>
      </c>
      <c r="C103">
        <v>28</v>
      </c>
      <c r="D103" t="s">
        <v>16</v>
      </c>
      <c r="E103" t="s">
        <v>131</v>
      </c>
      <c r="F103">
        <v>15</v>
      </c>
      <c r="H103" s="6">
        <f>_xlfn.XLOOKUP(A103,Foglio6!A:A,Foglio6!B:B,0)</f>
        <v>6</v>
      </c>
      <c r="I103">
        <f>SUM(_xlfn.XLOOKUP(A103,Foglio6!A:A,Foglio6!E:E,0),_xlfn.XLOOKUP(A103,Foglio6!A:A,Foglio6!F:F,0))</f>
        <v>0</v>
      </c>
      <c r="L103">
        <v>1</v>
      </c>
    </row>
    <row r="104" spans="1:12" x14ac:dyDescent="0.3">
      <c r="A104" t="s">
        <v>314</v>
      </c>
      <c r="B104" t="s">
        <v>14</v>
      </c>
      <c r="C104">
        <v>29</v>
      </c>
      <c r="D104" t="s">
        <v>16</v>
      </c>
      <c r="E104" t="s">
        <v>171</v>
      </c>
      <c r="F104">
        <v>7</v>
      </c>
      <c r="H104" s="6">
        <f>_xlfn.XLOOKUP(A104,Foglio6!A:A,Foglio6!B:B,0)</f>
        <v>6</v>
      </c>
      <c r="I104">
        <f>SUM(_xlfn.XLOOKUP(A104,Foglio6!A:A,Foglio6!E:E,0),_xlfn.XLOOKUP(A104,Foglio6!A:A,Foglio6!F:F,0))</f>
        <v>0</v>
      </c>
      <c r="L104"/>
    </row>
    <row r="105" spans="1:12" x14ac:dyDescent="0.3">
      <c r="A105" t="s">
        <v>230</v>
      </c>
      <c r="B105" t="s">
        <v>11</v>
      </c>
      <c r="C105">
        <v>23</v>
      </c>
      <c r="D105" t="s">
        <v>16</v>
      </c>
      <c r="E105" t="s">
        <v>88</v>
      </c>
      <c r="F105">
        <v>10</v>
      </c>
      <c r="H105" s="6">
        <f>_xlfn.XLOOKUP(A105,Foglio6!A:A,Foglio6!B:B,0)</f>
        <v>5</v>
      </c>
      <c r="I105">
        <f>SUM(_xlfn.XLOOKUP(A105,Foglio6!A:A,Foglio6!E:E,0),_xlfn.XLOOKUP(A105,Foglio6!A:A,Foglio6!F:F,0))</f>
        <v>0</v>
      </c>
      <c r="L105"/>
    </row>
    <row r="106" spans="1:12" x14ac:dyDescent="0.3">
      <c r="A106" t="s">
        <v>279</v>
      </c>
      <c r="B106" t="s">
        <v>39</v>
      </c>
      <c r="C106">
        <v>26</v>
      </c>
      <c r="D106" t="s">
        <v>16</v>
      </c>
      <c r="E106" t="s">
        <v>131</v>
      </c>
      <c r="F106">
        <v>8</v>
      </c>
      <c r="H106" s="6">
        <f>_xlfn.XLOOKUP(A106,Foglio6!A:A,Foglio6!B:B,0)</f>
        <v>5</v>
      </c>
      <c r="I106">
        <f>SUM(_xlfn.XLOOKUP(A106,Foglio6!A:A,Foglio6!E:E,0),_xlfn.XLOOKUP(A106,Foglio6!A:A,Foglio6!F:F,0))</f>
        <v>0</v>
      </c>
      <c r="L106"/>
    </row>
    <row r="107" spans="1:12" x14ac:dyDescent="0.3">
      <c r="A107" t="s">
        <v>310</v>
      </c>
      <c r="B107" t="s">
        <v>19</v>
      </c>
      <c r="C107">
        <v>31</v>
      </c>
      <c r="D107" t="s">
        <v>16</v>
      </c>
      <c r="E107" t="s">
        <v>88</v>
      </c>
      <c r="F107">
        <v>7</v>
      </c>
      <c r="H107" s="6">
        <f>_xlfn.XLOOKUP(A107,Foglio6!A:A,Foglio6!B:B,0)</f>
        <v>5</v>
      </c>
      <c r="I107">
        <f>SUM(_xlfn.XLOOKUP(A107,Foglio6!A:A,Foglio6!E:E,0),_xlfn.XLOOKUP(A107,Foglio6!A:A,Foglio6!F:F,0))</f>
        <v>0</v>
      </c>
      <c r="L107"/>
    </row>
    <row r="108" spans="1:12" x14ac:dyDescent="0.3">
      <c r="A108" t="s">
        <v>391</v>
      </c>
      <c r="B108" t="s">
        <v>115</v>
      </c>
      <c r="C108">
        <v>20</v>
      </c>
      <c r="D108" t="s">
        <v>16</v>
      </c>
      <c r="E108" t="s">
        <v>174</v>
      </c>
      <c r="F108">
        <v>5</v>
      </c>
      <c r="H108" s="6">
        <f>_xlfn.XLOOKUP(A108,Foglio6!A:A,Foglio6!B:B,0)</f>
        <v>5</v>
      </c>
      <c r="I108">
        <f>SUM(_xlfn.XLOOKUP(A108,Foglio6!A:A,Foglio6!E:E,0),_xlfn.XLOOKUP(A108,Foglio6!A:A,Foglio6!F:F,0))</f>
        <v>0</v>
      </c>
      <c r="L108"/>
    </row>
    <row r="109" spans="1:12" x14ac:dyDescent="0.3">
      <c r="A109" t="s">
        <v>386</v>
      </c>
      <c r="B109" t="s">
        <v>94</v>
      </c>
      <c r="C109">
        <v>23</v>
      </c>
      <c r="D109" t="s">
        <v>16</v>
      </c>
      <c r="E109" t="s">
        <v>88</v>
      </c>
      <c r="F109">
        <v>5</v>
      </c>
      <c r="H109" s="6">
        <f>_xlfn.XLOOKUP(A109,Foglio6!A:A,Foglio6!B:B,0)</f>
        <v>5</v>
      </c>
      <c r="I109">
        <f>SUM(_xlfn.XLOOKUP(A109,Foglio6!A:A,Foglio6!E:E,0),_xlfn.XLOOKUP(A109,Foglio6!A:A,Foglio6!F:F,0))</f>
        <v>0</v>
      </c>
      <c r="L109"/>
    </row>
    <row r="110" spans="1:12" x14ac:dyDescent="0.3">
      <c r="A110" t="s">
        <v>426</v>
      </c>
      <c r="B110" t="s">
        <v>31</v>
      </c>
      <c r="C110">
        <v>26</v>
      </c>
      <c r="D110" t="s">
        <v>16</v>
      </c>
      <c r="E110" t="s">
        <v>131</v>
      </c>
      <c r="F110">
        <v>4</v>
      </c>
      <c r="H110" s="6">
        <f>_xlfn.XLOOKUP(A110,Foglio6!A:A,Foglio6!B:B,0)</f>
        <v>5</v>
      </c>
      <c r="I110">
        <f>SUM(_xlfn.XLOOKUP(A110,Foglio6!A:A,Foglio6!E:E,0),_xlfn.XLOOKUP(A110,Foglio6!A:A,Foglio6!F:F,0))</f>
        <v>0</v>
      </c>
      <c r="L110"/>
    </row>
    <row r="111" spans="1:12" x14ac:dyDescent="0.3">
      <c r="A111" t="s">
        <v>434</v>
      </c>
      <c r="B111" t="s">
        <v>31</v>
      </c>
      <c r="C111">
        <v>27</v>
      </c>
      <c r="D111" t="s">
        <v>16</v>
      </c>
      <c r="E111" t="s">
        <v>146</v>
      </c>
      <c r="F111">
        <v>4</v>
      </c>
      <c r="H111" s="6">
        <f>_xlfn.XLOOKUP(A111,Foglio6!A:A,Foglio6!B:B,0)</f>
        <v>5</v>
      </c>
      <c r="I111">
        <f>SUM(_xlfn.XLOOKUP(A111,Foglio6!A:A,Foglio6!E:E,0),_xlfn.XLOOKUP(A111,Foglio6!A:A,Foglio6!F:F,0))</f>
        <v>0</v>
      </c>
      <c r="L111"/>
    </row>
    <row r="112" spans="1:12" x14ac:dyDescent="0.3">
      <c r="A112" t="s">
        <v>389</v>
      </c>
      <c r="B112" t="s">
        <v>157</v>
      </c>
      <c r="C112">
        <v>22</v>
      </c>
      <c r="D112" t="s">
        <v>16</v>
      </c>
      <c r="E112" t="s">
        <v>88</v>
      </c>
      <c r="F112">
        <v>5</v>
      </c>
      <c r="H112" s="6">
        <f>_xlfn.XLOOKUP(A112,Foglio6!A:A,Foglio6!B:B,0)</f>
        <v>4</v>
      </c>
      <c r="I112">
        <f>SUM(_xlfn.XLOOKUP(A112,Foglio6!A:A,Foglio6!E:E,0),_xlfn.XLOOKUP(A112,Foglio6!A:A,Foglio6!F:F,0))</f>
        <v>0</v>
      </c>
      <c r="L112"/>
    </row>
    <row r="113" spans="1:12" x14ac:dyDescent="0.3">
      <c r="A113" t="s">
        <v>455</v>
      </c>
      <c r="B113" t="s">
        <v>33</v>
      </c>
      <c r="C113">
        <v>21</v>
      </c>
      <c r="D113" t="s">
        <v>16</v>
      </c>
      <c r="E113" t="s">
        <v>111</v>
      </c>
      <c r="F113">
        <v>3</v>
      </c>
      <c r="H113" s="6">
        <f>_xlfn.XLOOKUP(A113,Foglio6!A:A,Foglio6!B:B,0)</f>
        <v>4</v>
      </c>
      <c r="I113">
        <f>SUM(_xlfn.XLOOKUP(A113,Foglio6!A:A,Foglio6!E:E,0),_xlfn.XLOOKUP(A113,Foglio6!A:A,Foglio6!F:F,0))</f>
        <v>0</v>
      </c>
      <c r="L113"/>
    </row>
    <row r="114" spans="1:12" x14ac:dyDescent="0.3">
      <c r="A114" t="s">
        <v>459</v>
      </c>
      <c r="B114" t="s">
        <v>14</v>
      </c>
      <c r="C114">
        <v>24</v>
      </c>
      <c r="D114" t="s">
        <v>16</v>
      </c>
      <c r="E114" t="s">
        <v>88</v>
      </c>
      <c r="F114">
        <v>3</v>
      </c>
      <c r="H114" s="6">
        <f>_xlfn.XLOOKUP(A114,Foglio6!A:A,Foglio6!B:B,0)</f>
        <v>4</v>
      </c>
      <c r="I114">
        <f>SUM(_xlfn.XLOOKUP(A114,Foglio6!A:A,Foglio6!E:E,0),_xlfn.XLOOKUP(A114,Foglio6!A:A,Foglio6!F:F,0))</f>
        <v>0</v>
      </c>
      <c r="L114"/>
    </row>
    <row r="115" spans="1:12" x14ac:dyDescent="0.3">
      <c r="A115" t="s">
        <v>316</v>
      </c>
      <c r="B115" t="s">
        <v>33</v>
      </c>
      <c r="C115">
        <v>26</v>
      </c>
      <c r="D115" t="s">
        <v>16</v>
      </c>
      <c r="E115" t="s">
        <v>131</v>
      </c>
      <c r="F115">
        <v>7</v>
      </c>
      <c r="H115" s="6">
        <f>_xlfn.XLOOKUP(A115,Foglio6!A:A,Foglio6!B:B,0)</f>
        <v>3</v>
      </c>
      <c r="I115">
        <f>SUM(_xlfn.XLOOKUP(A115,Foglio6!A:A,Foglio6!E:E,0),_xlfn.XLOOKUP(A115,Foglio6!A:A,Foglio6!F:F,0))</f>
        <v>0</v>
      </c>
      <c r="L115"/>
    </row>
    <row r="116" spans="1:12" x14ac:dyDescent="0.3">
      <c r="A116" t="s">
        <v>395</v>
      </c>
      <c r="B116" t="s">
        <v>29</v>
      </c>
      <c r="C116">
        <v>28</v>
      </c>
      <c r="D116" t="s">
        <v>16</v>
      </c>
      <c r="E116" t="s">
        <v>146</v>
      </c>
      <c r="F116">
        <v>5</v>
      </c>
      <c r="H116" s="6">
        <f>_xlfn.XLOOKUP(A116,Foglio6!A:A,Foglio6!B:B,0)</f>
        <v>3</v>
      </c>
      <c r="I116">
        <f>SUM(_xlfn.XLOOKUP(A116,Foglio6!A:A,Foglio6!E:E,0),_xlfn.XLOOKUP(A116,Foglio6!A:A,Foglio6!F:F,0))</f>
        <v>0</v>
      </c>
      <c r="L116"/>
    </row>
    <row r="117" spans="1:12" x14ac:dyDescent="0.3">
      <c r="A117" t="s">
        <v>431</v>
      </c>
      <c r="B117" t="s">
        <v>157</v>
      </c>
      <c r="C117">
        <v>24</v>
      </c>
      <c r="D117" t="s">
        <v>16</v>
      </c>
      <c r="E117" t="s">
        <v>88</v>
      </c>
      <c r="F117">
        <v>4</v>
      </c>
      <c r="H117" s="6">
        <f>_xlfn.XLOOKUP(A117,Foglio6!A:A,Foglio6!B:B,0)</f>
        <v>3</v>
      </c>
      <c r="I117">
        <f>SUM(_xlfn.XLOOKUP(A117,Foglio6!A:A,Foglio6!E:E,0),_xlfn.XLOOKUP(A117,Foglio6!A:A,Foglio6!F:F,0))</f>
        <v>0</v>
      </c>
      <c r="L117"/>
    </row>
    <row r="118" spans="1:12" x14ac:dyDescent="0.3">
      <c r="A118" t="s">
        <v>489</v>
      </c>
      <c r="B118" t="s">
        <v>115</v>
      </c>
      <c r="C118">
        <v>24</v>
      </c>
      <c r="D118" t="s">
        <v>16</v>
      </c>
      <c r="E118" t="s">
        <v>88</v>
      </c>
      <c r="F118">
        <v>2</v>
      </c>
      <c r="H118" s="6">
        <f>_xlfn.XLOOKUP(A118,Foglio6!A:A,Foglio6!B:B,0)</f>
        <v>3</v>
      </c>
      <c r="I118">
        <f>SUM(_xlfn.XLOOKUP(A118,Foglio6!A:A,Foglio6!E:E,0),_xlfn.XLOOKUP(A118,Foglio6!A:A,Foglio6!F:F,0))</f>
        <v>0</v>
      </c>
      <c r="L118"/>
    </row>
    <row r="119" spans="1:12" x14ac:dyDescent="0.3">
      <c r="A119" t="s">
        <v>278</v>
      </c>
      <c r="B119" t="s">
        <v>39</v>
      </c>
      <c r="C119">
        <v>27</v>
      </c>
      <c r="D119" t="s">
        <v>16</v>
      </c>
      <c r="E119" t="s">
        <v>88</v>
      </c>
      <c r="F119">
        <v>8</v>
      </c>
      <c r="H119" s="6">
        <f>_xlfn.XLOOKUP(A119,Foglio6!A:A,Foglio6!B:B,0)</f>
        <v>2.5</v>
      </c>
      <c r="I119">
        <f>SUM(_xlfn.XLOOKUP(A119,Foglio6!A:A,Foglio6!E:E,0),_xlfn.XLOOKUP(A119,Foglio6!A:A,Foglio6!F:F,0))</f>
        <v>0</v>
      </c>
      <c r="L119"/>
    </row>
    <row r="120" spans="1:12" x14ac:dyDescent="0.3">
      <c r="A120" t="s">
        <v>318</v>
      </c>
      <c r="B120" t="s">
        <v>29</v>
      </c>
      <c r="C120">
        <v>29</v>
      </c>
      <c r="D120" t="s">
        <v>16</v>
      </c>
      <c r="E120" t="s">
        <v>215</v>
      </c>
      <c r="F120">
        <v>7</v>
      </c>
      <c r="H120" s="6">
        <f>_xlfn.XLOOKUP(A120,Foglio6!A:A,Foglio6!B:B,0)</f>
        <v>2</v>
      </c>
      <c r="I120">
        <f>SUM(_xlfn.XLOOKUP(A120,Foglio6!A:A,Foglio6!E:E,0),_xlfn.XLOOKUP(A120,Foglio6!A:A,Foglio6!F:F,0))</f>
        <v>0</v>
      </c>
      <c r="L120"/>
    </row>
    <row r="121" spans="1:12" x14ac:dyDescent="0.3">
      <c r="A121" t="s">
        <v>393</v>
      </c>
      <c r="B121" t="s">
        <v>19</v>
      </c>
      <c r="C121">
        <v>26</v>
      </c>
      <c r="D121" t="s">
        <v>16</v>
      </c>
      <c r="E121" t="s">
        <v>131</v>
      </c>
      <c r="F121">
        <v>5</v>
      </c>
      <c r="H121" s="6">
        <f>_xlfn.XLOOKUP(A121,Foglio6!A:A,Foglio6!B:B,0)</f>
        <v>2</v>
      </c>
      <c r="I121">
        <f>SUM(_xlfn.XLOOKUP(A121,Foglio6!A:A,Foglio6!E:E,0),_xlfn.XLOOKUP(A121,Foglio6!A:A,Foglio6!F:F,0))</f>
        <v>0</v>
      </c>
      <c r="L121">
        <v>1</v>
      </c>
    </row>
    <row r="122" spans="1:12" x14ac:dyDescent="0.3">
      <c r="A122" t="s">
        <v>430</v>
      </c>
      <c r="B122" t="s">
        <v>94</v>
      </c>
      <c r="C122">
        <v>28</v>
      </c>
      <c r="D122" t="s">
        <v>16</v>
      </c>
      <c r="E122" t="s">
        <v>146</v>
      </c>
      <c r="F122">
        <v>4</v>
      </c>
      <c r="H122" s="6">
        <f>_xlfn.XLOOKUP(A122,Foglio6!A:A,Foglio6!B:B,0)</f>
        <v>2</v>
      </c>
      <c r="I122">
        <f>SUM(_xlfn.XLOOKUP(A122,Foglio6!A:A,Foglio6!E:E,0),_xlfn.XLOOKUP(A122,Foglio6!A:A,Foglio6!F:F,0))</f>
        <v>0</v>
      </c>
      <c r="L122"/>
    </row>
    <row r="123" spans="1:12" x14ac:dyDescent="0.3">
      <c r="A123" t="s">
        <v>282</v>
      </c>
      <c r="B123" t="s">
        <v>74</v>
      </c>
      <c r="C123">
        <v>29</v>
      </c>
      <c r="D123" t="s">
        <v>16</v>
      </c>
      <c r="E123" t="s">
        <v>188</v>
      </c>
      <c r="F123">
        <v>8</v>
      </c>
      <c r="H123" s="6">
        <f>_xlfn.XLOOKUP(A123,Foglio6!A:A,Foglio6!B:B,0)</f>
        <v>1.5</v>
      </c>
      <c r="I123">
        <f>SUM(_xlfn.XLOOKUP(A123,Foglio6!A:A,Foglio6!E:E,0),_xlfn.XLOOKUP(A123,Foglio6!A:A,Foglio6!F:F,0))</f>
        <v>2</v>
      </c>
      <c r="L123"/>
    </row>
    <row r="124" spans="1:12" x14ac:dyDescent="0.3">
      <c r="A124" t="s">
        <v>364</v>
      </c>
      <c r="B124" t="s">
        <v>39</v>
      </c>
      <c r="C124">
        <v>33</v>
      </c>
      <c r="D124" t="s">
        <v>16</v>
      </c>
      <c r="E124" t="s">
        <v>146</v>
      </c>
      <c r="F124">
        <v>6</v>
      </c>
      <c r="H124" s="6">
        <f>_xlfn.XLOOKUP(A124,Foglio6!A:A,Foglio6!B:B,0)</f>
        <v>1.5</v>
      </c>
      <c r="I124">
        <f>SUM(_xlfn.XLOOKUP(A124,Foglio6!A:A,Foglio6!E:E,0),_xlfn.XLOOKUP(A124,Foglio6!A:A,Foglio6!F:F,0))</f>
        <v>0</v>
      </c>
      <c r="L124"/>
    </row>
    <row r="125" spans="1:12" x14ac:dyDescent="0.3">
      <c r="A125" t="s">
        <v>281</v>
      </c>
      <c r="B125" t="s">
        <v>14</v>
      </c>
      <c r="C125">
        <v>27</v>
      </c>
      <c r="D125" t="s">
        <v>16</v>
      </c>
      <c r="E125" t="s">
        <v>88</v>
      </c>
      <c r="F125">
        <v>8</v>
      </c>
      <c r="H125" s="6">
        <f>_xlfn.XLOOKUP(A125,Foglio6!A:A,Foglio6!B:B,0)</f>
        <v>1</v>
      </c>
      <c r="I125">
        <f>SUM(_xlfn.XLOOKUP(A125,Foglio6!A:A,Foglio6!E:E,0),_xlfn.XLOOKUP(A125,Foglio6!A:A,Foglio6!F:F,0))</f>
        <v>0</v>
      </c>
      <c r="L125"/>
    </row>
    <row r="126" spans="1:12" x14ac:dyDescent="0.3">
      <c r="A126" t="s">
        <v>343</v>
      </c>
      <c r="B126" t="s">
        <v>104</v>
      </c>
      <c r="C126">
        <v>21</v>
      </c>
      <c r="D126" t="s">
        <v>16</v>
      </c>
      <c r="E126" t="s">
        <v>88</v>
      </c>
      <c r="F126">
        <v>6</v>
      </c>
      <c r="H126" s="6">
        <f>_xlfn.XLOOKUP(A126,Foglio6!A:A,Foglio6!B:B,0)</f>
        <v>1</v>
      </c>
      <c r="I126">
        <f>SUM(_xlfn.XLOOKUP(A126,Foglio6!A:A,Foglio6!E:E,0),_xlfn.XLOOKUP(A126,Foglio6!A:A,Foglio6!F:F,0))</f>
        <v>0</v>
      </c>
      <c r="L126"/>
    </row>
    <row r="127" spans="1:12" x14ac:dyDescent="0.3">
      <c r="A127" t="s">
        <v>401</v>
      </c>
      <c r="B127" t="s">
        <v>42</v>
      </c>
      <c r="C127">
        <v>26</v>
      </c>
      <c r="D127" t="s">
        <v>16</v>
      </c>
      <c r="E127" t="s">
        <v>131</v>
      </c>
      <c r="F127">
        <v>5</v>
      </c>
      <c r="H127" s="6">
        <f>_xlfn.XLOOKUP(A127,Foglio6!A:A,Foglio6!B:B,0)</f>
        <v>1</v>
      </c>
      <c r="I127">
        <f>SUM(_xlfn.XLOOKUP(A127,Foglio6!A:A,Foglio6!E:E,0),_xlfn.XLOOKUP(A127,Foglio6!A:A,Foglio6!F:F,0))</f>
        <v>0</v>
      </c>
      <c r="L127"/>
    </row>
    <row r="128" spans="1:12" x14ac:dyDescent="0.3">
      <c r="A128" t="s">
        <v>433</v>
      </c>
      <c r="B128" t="s">
        <v>39</v>
      </c>
      <c r="C128">
        <v>25</v>
      </c>
      <c r="D128" t="s">
        <v>16</v>
      </c>
      <c r="E128" t="s">
        <v>111</v>
      </c>
      <c r="F128">
        <v>4</v>
      </c>
      <c r="H128" s="6">
        <f>_xlfn.XLOOKUP(A128,Foglio6!A:A,Foglio6!B:B,0)</f>
        <v>1</v>
      </c>
      <c r="I128">
        <f>SUM(_xlfn.XLOOKUP(A128,Foglio6!A:A,Foglio6!E:E,0),_xlfn.XLOOKUP(A128,Foglio6!A:A,Foglio6!F:F,0))</f>
        <v>0</v>
      </c>
      <c r="L128"/>
    </row>
    <row r="129" spans="1:12" x14ac:dyDescent="0.3">
      <c r="A129" t="s">
        <v>432</v>
      </c>
      <c r="B129" t="s">
        <v>31</v>
      </c>
      <c r="C129">
        <v>29</v>
      </c>
      <c r="D129" t="s">
        <v>16</v>
      </c>
      <c r="E129" t="s">
        <v>88</v>
      </c>
      <c r="F129">
        <v>4</v>
      </c>
      <c r="H129" s="6">
        <f>_xlfn.XLOOKUP(A129,Foglio6!A:A,Foglio6!B:B,0)</f>
        <v>1</v>
      </c>
      <c r="I129">
        <f>SUM(_xlfn.XLOOKUP(A129,Foglio6!A:A,Foglio6!E:E,0),_xlfn.XLOOKUP(A129,Foglio6!A:A,Foglio6!F:F,0))</f>
        <v>0</v>
      </c>
      <c r="L129"/>
    </row>
    <row r="130" spans="1:12" x14ac:dyDescent="0.3">
      <c r="A130" t="s">
        <v>460</v>
      </c>
      <c r="B130" t="s">
        <v>33</v>
      </c>
      <c r="C130">
        <v>28</v>
      </c>
      <c r="D130" t="s">
        <v>16</v>
      </c>
      <c r="E130" t="s">
        <v>88</v>
      </c>
      <c r="F130">
        <v>3</v>
      </c>
      <c r="H130" s="6">
        <f>_xlfn.XLOOKUP(A130,Foglio6!A:A,Foglio6!B:B,0)</f>
        <v>1</v>
      </c>
      <c r="I130">
        <f>SUM(_xlfn.XLOOKUP(A130,Foglio6!A:A,Foglio6!E:E,0),_xlfn.XLOOKUP(A130,Foglio6!A:A,Foglio6!F:F,0))</f>
        <v>0</v>
      </c>
      <c r="L130"/>
    </row>
    <row r="131" spans="1:12" x14ac:dyDescent="0.3">
      <c r="A131" t="s">
        <v>456</v>
      </c>
      <c r="B131" t="s">
        <v>74</v>
      </c>
      <c r="C131">
        <v>22</v>
      </c>
      <c r="D131" t="s">
        <v>16</v>
      </c>
      <c r="E131" t="s">
        <v>88</v>
      </c>
      <c r="F131">
        <v>3</v>
      </c>
      <c r="H131" s="6">
        <f>_xlfn.XLOOKUP(A131,Foglio6!A:A,Foglio6!B:B,0)</f>
        <v>1</v>
      </c>
      <c r="I131">
        <f>SUM(_xlfn.XLOOKUP(A131,Foglio6!A:A,Foglio6!E:E,0),_xlfn.XLOOKUP(A131,Foglio6!A:A,Foglio6!F:F,0))</f>
        <v>0</v>
      </c>
      <c r="L131">
        <v>1</v>
      </c>
    </row>
    <row r="132" spans="1:12" x14ac:dyDescent="0.3">
      <c r="A132" t="s">
        <v>461</v>
      </c>
      <c r="B132" t="s">
        <v>55</v>
      </c>
      <c r="C132">
        <v>27</v>
      </c>
      <c r="D132" t="s">
        <v>16</v>
      </c>
      <c r="E132" t="s">
        <v>188</v>
      </c>
      <c r="F132">
        <v>3</v>
      </c>
      <c r="H132" s="6">
        <f>_xlfn.XLOOKUP(A132,Foglio6!A:A,Foglio6!B:B,0)</f>
        <v>1</v>
      </c>
      <c r="I132">
        <f>SUM(_xlfn.XLOOKUP(A132,Foglio6!A:A,Foglio6!E:E,0),_xlfn.XLOOKUP(A132,Foglio6!A:A,Foglio6!F:F,0))</f>
        <v>0</v>
      </c>
      <c r="L132"/>
    </row>
    <row r="133" spans="1:12" x14ac:dyDescent="0.3">
      <c r="A133" t="s">
        <v>496</v>
      </c>
      <c r="B133" t="s">
        <v>42</v>
      </c>
      <c r="C133">
        <v>22</v>
      </c>
      <c r="D133" t="s">
        <v>16</v>
      </c>
      <c r="E133" t="s">
        <v>111</v>
      </c>
      <c r="F133">
        <v>2</v>
      </c>
      <c r="H133" s="6">
        <f>_xlfn.XLOOKUP(A133,Foglio6!A:A,Foglio6!B:B,0)</f>
        <v>1</v>
      </c>
      <c r="I133">
        <f>SUM(_xlfn.XLOOKUP(A133,Foglio6!A:A,Foglio6!E:E,0),_xlfn.XLOOKUP(A133,Foglio6!A:A,Foglio6!F:F,0))</f>
        <v>0</v>
      </c>
      <c r="L133"/>
    </row>
    <row r="134" spans="1:12" x14ac:dyDescent="0.3">
      <c r="A134" t="s">
        <v>526</v>
      </c>
      <c r="B134" t="s">
        <v>157</v>
      </c>
      <c r="C134">
        <v>21</v>
      </c>
      <c r="D134" t="s">
        <v>16</v>
      </c>
      <c r="E134" t="s">
        <v>88</v>
      </c>
      <c r="F134">
        <v>1</v>
      </c>
      <c r="H134" s="6">
        <f>_xlfn.XLOOKUP(A134,Foglio6!A:A,Foglio6!B:B,0)</f>
        <v>1</v>
      </c>
      <c r="I134">
        <f>SUM(_xlfn.XLOOKUP(A134,Foglio6!A:A,Foglio6!E:E,0),_xlfn.XLOOKUP(A134,Foglio6!A:A,Foglio6!F:F,0))</f>
        <v>0</v>
      </c>
      <c r="L134"/>
    </row>
    <row r="135" spans="1:12" x14ac:dyDescent="0.3">
      <c r="A135" t="s">
        <v>423</v>
      </c>
      <c r="B135" t="s">
        <v>74</v>
      </c>
      <c r="C135">
        <v>21</v>
      </c>
      <c r="D135" t="s">
        <v>16</v>
      </c>
      <c r="E135" t="s">
        <v>188</v>
      </c>
      <c r="F135">
        <v>4</v>
      </c>
      <c r="H135" s="6">
        <f>_xlfn.XLOOKUP(A135,Foglio6!A:A,Foglio6!B:B,0)</f>
        <v>0.5</v>
      </c>
      <c r="I135">
        <f>SUM(_xlfn.XLOOKUP(A135,Foglio6!A:A,Foglio6!E:E,0),_xlfn.XLOOKUP(A135,Foglio6!A:A,Foglio6!F:F,0))</f>
        <v>0</v>
      </c>
      <c r="L135"/>
    </row>
    <row r="136" spans="1:12" x14ac:dyDescent="0.3">
      <c r="A136" t="s">
        <v>170</v>
      </c>
      <c r="B136" t="s">
        <v>7</v>
      </c>
      <c r="C136">
        <v>27</v>
      </c>
      <c r="D136" t="s">
        <v>16</v>
      </c>
      <c r="E136" t="s">
        <v>171</v>
      </c>
      <c r="F136">
        <v>14</v>
      </c>
      <c r="H136" s="6">
        <f>_xlfn.XLOOKUP(A136,Foglio6!A:A,Foglio6!B:B,0)</f>
        <v>0</v>
      </c>
      <c r="I136">
        <f>SUM(_xlfn.XLOOKUP(A136,Foglio6!A:A,Foglio6!E:E,0),_xlfn.XLOOKUP(A136,Foglio6!A:A,Foglio6!F:F,0))</f>
        <v>0</v>
      </c>
      <c r="L136">
        <v>1</v>
      </c>
    </row>
    <row r="137" spans="1:12" x14ac:dyDescent="0.3">
      <c r="A137" t="s">
        <v>258</v>
      </c>
      <c r="B137" t="s">
        <v>7</v>
      </c>
      <c r="C137">
        <v>30</v>
      </c>
      <c r="D137" t="s">
        <v>16</v>
      </c>
      <c r="E137" t="s">
        <v>111</v>
      </c>
      <c r="F137">
        <v>9</v>
      </c>
      <c r="H137" s="6">
        <f>_xlfn.XLOOKUP(A137,Foglio6!A:A,Foglio6!B:B,0)</f>
        <v>0</v>
      </c>
      <c r="I137">
        <f>SUM(_xlfn.XLOOKUP(A137,Foglio6!A:A,Foglio6!E:E,0),_xlfn.XLOOKUP(A137,Foglio6!A:A,Foglio6!F:F,0))</f>
        <v>0</v>
      </c>
      <c r="L137">
        <v>1</v>
      </c>
    </row>
    <row r="138" spans="1:12" x14ac:dyDescent="0.3">
      <c r="A138" t="s">
        <v>276</v>
      </c>
      <c r="B138" t="s">
        <v>11</v>
      </c>
      <c r="C138">
        <v>23</v>
      </c>
      <c r="D138" t="s">
        <v>16</v>
      </c>
      <c r="E138" t="s">
        <v>215</v>
      </c>
      <c r="F138">
        <v>8</v>
      </c>
      <c r="H138" s="6">
        <f>_xlfn.XLOOKUP(A138,Foglio6!A:A,Foglio6!B:B,0)</f>
        <v>0</v>
      </c>
      <c r="I138">
        <f>SUM(_xlfn.XLOOKUP(A138,Foglio6!A:A,Foglio6!E:E,0),_xlfn.XLOOKUP(A138,Foglio6!A:A,Foglio6!F:F,0))</f>
        <v>0</v>
      </c>
      <c r="L138"/>
    </row>
    <row r="139" spans="1:12" x14ac:dyDescent="0.3">
      <c r="A139" t="s">
        <v>309</v>
      </c>
      <c r="B139" t="s">
        <v>64</v>
      </c>
      <c r="C139">
        <v>20</v>
      </c>
      <c r="D139" t="s">
        <v>16</v>
      </c>
      <c r="E139" t="s">
        <v>60</v>
      </c>
      <c r="F139">
        <v>7</v>
      </c>
      <c r="H139" s="6">
        <f>_xlfn.XLOOKUP(A139,Foglio6!A:A,Foglio6!B:B,0)</f>
        <v>0</v>
      </c>
      <c r="I139">
        <f>SUM(_xlfn.XLOOKUP(A139,Foglio6!A:A,Foglio6!E:E,0),_xlfn.XLOOKUP(A139,Foglio6!A:A,Foglio6!F:F,0))</f>
        <v>0</v>
      </c>
      <c r="L139"/>
    </row>
    <row r="140" spans="1:12" x14ac:dyDescent="0.3">
      <c r="A140" t="s">
        <v>357</v>
      </c>
      <c r="B140" t="s">
        <v>25</v>
      </c>
      <c r="C140">
        <v>24</v>
      </c>
      <c r="D140" t="s">
        <v>16</v>
      </c>
      <c r="E140" t="s">
        <v>111</v>
      </c>
      <c r="F140">
        <v>6</v>
      </c>
      <c r="H140" s="6">
        <f>_xlfn.XLOOKUP(A140,Foglio6!A:A,Foglio6!B:B,0)</f>
        <v>0</v>
      </c>
      <c r="I140">
        <f>SUM(_xlfn.XLOOKUP(A140,Foglio6!A:A,Foglio6!E:E,0),_xlfn.XLOOKUP(A140,Foglio6!A:A,Foglio6!F:F,0))</f>
        <v>0</v>
      </c>
      <c r="L140"/>
    </row>
    <row r="141" spans="1:12" x14ac:dyDescent="0.3">
      <c r="A141" t="s">
        <v>342</v>
      </c>
      <c r="B141" t="s">
        <v>14</v>
      </c>
      <c r="C141">
        <v>22</v>
      </c>
      <c r="D141" t="s">
        <v>16</v>
      </c>
      <c r="E141" t="s">
        <v>174</v>
      </c>
      <c r="F141">
        <v>6</v>
      </c>
      <c r="H141" s="6">
        <f>_xlfn.XLOOKUP(A141,Foglio6!A:A,Foglio6!B:B,0)</f>
        <v>0</v>
      </c>
      <c r="I141">
        <f>SUM(_xlfn.XLOOKUP(A141,Foglio6!A:A,Foglio6!E:E,0),_xlfn.XLOOKUP(A141,Foglio6!A:A,Foglio6!F:F,0))</f>
        <v>0</v>
      </c>
      <c r="L141">
        <v>1</v>
      </c>
    </row>
    <row r="142" spans="1:12" x14ac:dyDescent="0.3">
      <c r="A142" t="s">
        <v>347</v>
      </c>
      <c r="B142" t="s">
        <v>55</v>
      </c>
      <c r="C142">
        <v>23</v>
      </c>
      <c r="D142" t="s">
        <v>16</v>
      </c>
      <c r="E142" t="s">
        <v>131</v>
      </c>
      <c r="F142">
        <v>6</v>
      </c>
      <c r="H142" s="6">
        <f>_xlfn.XLOOKUP(A142,Foglio6!A:A,Foglio6!B:B,0)</f>
        <v>0</v>
      </c>
      <c r="I142">
        <f>SUM(_xlfn.XLOOKUP(A142,Foglio6!A:A,Foglio6!E:E,0),_xlfn.XLOOKUP(A142,Foglio6!A:A,Foglio6!F:F,0))</f>
        <v>0</v>
      </c>
      <c r="L142"/>
    </row>
    <row r="143" spans="1:12" x14ac:dyDescent="0.3">
      <c r="A143" t="s">
        <v>360</v>
      </c>
      <c r="B143" t="s">
        <v>31</v>
      </c>
      <c r="C143">
        <v>26</v>
      </c>
      <c r="D143" t="s">
        <v>16</v>
      </c>
      <c r="E143" t="s">
        <v>188</v>
      </c>
      <c r="F143">
        <v>6</v>
      </c>
      <c r="H143" s="6">
        <f>_xlfn.XLOOKUP(A143,Foglio6!A:A,Foglio6!B:B,0)</f>
        <v>0</v>
      </c>
      <c r="I143">
        <f>SUM(_xlfn.XLOOKUP(A143,Foglio6!A:A,Foglio6!E:E,0),_xlfn.XLOOKUP(A143,Foglio6!A:A,Foglio6!F:F,0))</f>
        <v>0</v>
      </c>
      <c r="L143"/>
    </row>
    <row r="144" spans="1:12" x14ac:dyDescent="0.3">
      <c r="A144" t="s">
        <v>362</v>
      </c>
      <c r="B144" t="s">
        <v>25</v>
      </c>
      <c r="C144">
        <v>29</v>
      </c>
      <c r="D144" t="s">
        <v>16</v>
      </c>
      <c r="E144" t="s">
        <v>88</v>
      </c>
      <c r="F144">
        <v>6</v>
      </c>
      <c r="H144" s="6">
        <f>_xlfn.XLOOKUP(A144,Foglio6!A:A,Foglio6!B:B,0)</f>
        <v>0</v>
      </c>
      <c r="I144">
        <f>SUM(_xlfn.XLOOKUP(A144,Foglio6!A:A,Foglio6!E:E,0),_xlfn.XLOOKUP(A144,Foglio6!A:A,Foglio6!F:F,0))</f>
        <v>0</v>
      </c>
      <c r="L144"/>
    </row>
    <row r="145" spans="1:12" x14ac:dyDescent="0.3">
      <c r="A145" t="s">
        <v>403</v>
      </c>
      <c r="B145" t="s">
        <v>25</v>
      </c>
      <c r="C145">
        <v>28</v>
      </c>
      <c r="D145" t="s">
        <v>16</v>
      </c>
      <c r="E145" t="s">
        <v>188</v>
      </c>
      <c r="F145">
        <v>5</v>
      </c>
      <c r="H145" s="6">
        <f>_xlfn.XLOOKUP(A145,Foglio6!A:A,Foglio6!B:B,0)</f>
        <v>0</v>
      </c>
      <c r="I145">
        <f>SUM(_xlfn.XLOOKUP(A145,Foglio6!A:A,Foglio6!E:E,0),_xlfn.XLOOKUP(A145,Foglio6!A:A,Foglio6!F:F,0))</f>
        <v>0</v>
      </c>
      <c r="L145"/>
    </row>
    <row r="146" spans="1:12" x14ac:dyDescent="0.3">
      <c r="A146" t="s">
        <v>398</v>
      </c>
      <c r="B146" t="s">
        <v>29</v>
      </c>
      <c r="C146">
        <v>28</v>
      </c>
      <c r="D146" t="s">
        <v>16</v>
      </c>
      <c r="E146" t="s">
        <v>88</v>
      </c>
      <c r="F146">
        <v>5</v>
      </c>
      <c r="H146" s="6">
        <f>_xlfn.XLOOKUP(A146,Foglio6!A:A,Foglio6!B:B,0)</f>
        <v>0</v>
      </c>
      <c r="I146">
        <f>SUM(_xlfn.XLOOKUP(A146,Foglio6!A:A,Foglio6!E:E,0),_xlfn.XLOOKUP(A146,Foglio6!A:A,Foglio6!F:F,0))</f>
        <v>0</v>
      </c>
      <c r="L146"/>
    </row>
    <row r="147" spans="1:12" x14ac:dyDescent="0.3">
      <c r="A147" t="s">
        <v>396</v>
      </c>
      <c r="B147" t="s">
        <v>11</v>
      </c>
      <c r="C147">
        <v>23</v>
      </c>
      <c r="D147" t="s">
        <v>16</v>
      </c>
      <c r="E147" t="s">
        <v>88</v>
      </c>
      <c r="F147">
        <v>5</v>
      </c>
      <c r="H147" s="6">
        <f>_xlfn.XLOOKUP(A147,Foglio6!A:A,Foglio6!B:B,0)</f>
        <v>0</v>
      </c>
      <c r="I147">
        <f>SUM(_xlfn.XLOOKUP(A147,Foglio6!A:A,Foglio6!E:E,0),_xlfn.XLOOKUP(A147,Foglio6!A:A,Foglio6!F:F,0))</f>
        <v>0</v>
      </c>
      <c r="L147"/>
    </row>
    <row r="148" spans="1:12" x14ac:dyDescent="0.3">
      <c r="A148" t="s">
        <v>424</v>
      </c>
      <c r="B148" t="s">
        <v>42</v>
      </c>
      <c r="C148">
        <v>21</v>
      </c>
      <c r="D148" t="s">
        <v>16</v>
      </c>
      <c r="E148" t="s">
        <v>188</v>
      </c>
      <c r="F148">
        <v>4</v>
      </c>
      <c r="H148" s="6">
        <f>_xlfn.XLOOKUP(A148,Foglio6!A:A,Foglio6!B:B,0)</f>
        <v>0</v>
      </c>
      <c r="I148">
        <f>SUM(_xlfn.XLOOKUP(A148,Foglio6!A:A,Foglio6!E:E,0),_xlfn.XLOOKUP(A148,Foglio6!A:A,Foglio6!F:F,0))</f>
        <v>0</v>
      </c>
      <c r="L148"/>
    </row>
    <row r="149" spans="1:12" x14ac:dyDescent="0.3">
      <c r="A149" t="s">
        <v>427</v>
      </c>
      <c r="B149" t="s">
        <v>104</v>
      </c>
      <c r="C149">
        <v>21</v>
      </c>
      <c r="D149" t="s">
        <v>16</v>
      </c>
      <c r="E149" t="s">
        <v>188</v>
      </c>
      <c r="F149">
        <v>4</v>
      </c>
      <c r="H149" s="6">
        <f>_xlfn.XLOOKUP(A149,Foglio6!A:A,Foglio6!B:B,0)</f>
        <v>0</v>
      </c>
      <c r="I149">
        <f>SUM(_xlfn.XLOOKUP(A149,Foglio6!A:A,Foglio6!E:E,0),_xlfn.XLOOKUP(A149,Foglio6!A:A,Foglio6!F:F,0))</f>
        <v>0</v>
      </c>
      <c r="L149"/>
    </row>
    <row r="150" spans="1:12" x14ac:dyDescent="0.3">
      <c r="A150" t="s">
        <v>435</v>
      </c>
      <c r="B150" t="s">
        <v>55</v>
      </c>
      <c r="C150">
        <v>33</v>
      </c>
      <c r="D150" t="s">
        <v>16</v>
      </c>
      <c r="E150" t="s">
        <v>131</v>
      </c>
      <c r="F150">
        <v>4</v>
      </c>
      <c r="H150" s="6">
        <f>_xlfn.XLOOKUP(A150,Foglio6!A:A,Foglio6!B:B,0)</f>
        <v>0</v>
      </c>
      <c r="I150">
        <f>SUM(_xlfn.XLOOKUP(A150,Foglio6!A:A,Foglio6!E:E,0),_xlfn.XLOOKUP(A150,Foglio6!A:A,Foglio6!F:F,0))</f>
        <v>0</v>
      </c>
      <c r="L150"/>
    </row>
    <row r="151" spans="1:12" x14ac:dyDescent="0.3">
      <c r="A151" t="s">
        <v>454</v>
      </c>
      <c r="B151" t="s">
        <v>33</v>
      </c>
      <c r="C151">
        <v>24</v>
      </c>
      <c r="D151" t="s">
        <v>16</v>
      </c>
      <c r="E151" t="s">
        <v>188</v>
      </c>
      <c r="F151">
        <v>3</v>
      </c>
      <c r="H151" s="6">
        <f>_xlfn.XLOOKUP(A151,Foglio6!A:A,Foglio6!B:B,0)</f>
        <v>0</v>
      </c>
      <c r="I151">
        <f>SUM(_xlfn.XLOOKUP(A151,Foglio6!A:A,Foglio6!E:E,0),_xlfn.XLOOKUP(A151,Foglio6!A:A,Foglio6!F:F,0))</f>
        <v>0</v>
      </c>
      <c r="L151"/>
    </row>
    <row r="152" spans="1:12" x14ac:dyDescent="0.3">
      <c r="A152" t="s">
        <v>453</v>
      </c>
      <c r="B152" t="s">
        <v>104</v>
      </c>
      <c r="C152">
        <v>26</v>
      </c>
      <c r="D152" t="s">
        <v>16</v>
      </c>
      <c r="E152" t="s">
        <v>188</v>
      </c>
      <c r="F152">
        <v>3</v>
      </c>
      <c r="H152" s="6">
        <f>_xlfn.XLOOKUP(A152,Foglio6!A:A,Foglio6!B:B,0)</f>
        <v>0</v>
      </c>
      <c r="I152">
        <f>SUM(_xlfn.XLOOKUP(A152,Foglio6!A:A,Foglio6!E:E,0),_xlfn.XLOOKUP(A152,Foglio6!A:A,Foglio6!F:F,0))</f>
        <v>0</v>
      </c>
      <c r="L152"/>
    </row>
    <row r="153" spans="1:12" x14ac:dyDescent="0.3">
      <c r="A153" t="s">
        <v>463</v>
      </c>
      <c r="B153" t="s">
        <v>64</v>
      </c>
      <c r="C153">
        <v>34</v>
      </c>
      <c r="D153" t="s">
        <v>16</v>
      </c>
      <c r="E153" t="s">
        <v>171</v>
      </c>
      <c r="F153">
        <v>3</v>
      </c>
      <c r="H153" s="6">
        <f>_xlfn.XLOOKUP(A153,Foglio6!A:A,Foglio6!B:B,0)</f>
        <v>0</v>
      </c>
      <c r="I153">
        <f>SUM(_xlfn.XLOOKUP(A153,Foglio6!A:A,Foglio6!E:E,0),_xlfn.XLOOKUP(A153,Foglio6!A:A,Foglio6!F:F,0))</f>
        <v>0</v>
      </c>
      <c r="L153"/>
    </row>
    <row r="154" spans="1:12" x14ac:dyDescent="0.3">
      <c r="A154" t="s">
        <v>457</v>
      </c>
      <c r="B154" t="s">
        <v>42</v>
      </c>
      <c r="C154">
        <v>18</v>
      </c>
      <c r="D154" t="s">
        <v>16</v>
      </c>
      <c r="E154" t="s">
        <v>88</v>
      </c>
      <c r="F154">
        <v>3</v>
      </c>
      <c r="H154" s="6">
        <f>_xlfn.XLOOKUP(A154,Foglio6!A:A,Foglio6!B:B,0)</f>
        <v>0</v>
      </c>
      <c r="I154">
        <f>SUM(_xlfn.XLOOKUP(A154,Foglio6!A:A,Foglio6!E:E,0),_xlfn.XLOOKUP(A154,Foglio6!A:A,Foglio6!F:F,0))</f>
        <v>0</v>
      </c>
      <c r="L154"/>
    </row>
    <row r="155" spans="1:12" x14ac:dyDescent="0.3">
      <c r="A155" t="s">
        <v>462</v>
      </c>
      <c r="B155" t="s">
        <v>74</v>
      </c>
      <c r="C155">
        <v>33</v>
      </c>
      <c r="D155" t="s">
        <v>16</v>
      </c>
      <c r="E155" t="s">
        <v>174</v>
      </c>
      <c r="F155">
        <v>3</v>
      </c>
      <c r="H155" s="6">
        <f>_xlfn.XLOOKUP(A155,Foglio6!A:A,Foglio6!B:B,0)</f>
        <v>0</v>
      </c>
      <c r="I155">
        <f>SUM(_xlfn.XLOOKUP(A155,Foglio6!A:A,Foglio6!E:E,0),_xlfn.XLOOKUP(A155,Foglio6!A:A,Foglio6!F:F,0))</f>
        <v>0</v>
      </c>
      <c r="L155"/>
    </row>
    <row r="156" spans="1:12" x14ac:dyDescent="0.3">
      <c r="A156" t="s">
        <v>458</v>
      </c>
      <c r="B156" t="s">
        <v>19</v>
      </c>
      <c r="C156">
        <v>24</v>
      </c>
      <c r="D156" t="s">
        <v>16</v>
      </c>
      <c r="E156" t="s">
        <v>131</v>
      </c>
      <c r="F156">
        <v>3</v>
      </c>
      <c r="H156" s="6">
        <f>_xlfn.XLOOKUP(A156,Foglio6!A:A,Foglio6!B:B,0)</f>
        <v>0</v>
      </c>
      <c r="I156">
        <f>SUM(_xlfn.XLOOKUP(A156,Foglio6!A:A,Foglio6!E:E,0),_xlfn.XLOOKUP(A156,Foglio6!A:A,Foglio6!F:F,0))</f>
        <v>0</v>
      </c>
      <c r="L156"/>
    </row>
    <row r="157" spans="1:12" x14ac:dyDescent="0.3">
      <c r="A157" t="s">
        <v>495</v>
      </c>
      <c r="B157" t="s">
        <v>29</v>
      </c>
      <c r="C157">
        <v>25</v>
      </c>
      <c r="D157" t="s">
        <v>16</v>
      </c>
      <c r="E157" t="s">
        <v>171</v>
      </c>
      <c r="F157">
        <v>2</v>
      </c>
      <c r="H157" s="6">
        <f>_xlfn.XLOOKUP(A157,Foglio6!A:A,Foglio6!B:B,0)</f>
        <v>0</v>
      </c>
      <c r="I157">
        <f>SUM(_xlfn.XLOOKUP(A157,Foglio6!A:A,Foglio6!E:E,0),_xlfn.XLOOKUP(A157,Foglio6!A:A,Foglio6!F:F,0))</f>
        <v>0</v>
      </c>
      <c r="L157"/>
    </row>
    <row r="158" spans="1:12" x14ac:dyDescent="0.3">
      <c r="A158" t="s">
        <v>494</v>
      </c>
      <c r="B158" t="s">
        <v>115</v>
      </c>
      <c r="C158">
        <v>23</v>
      </c>
      <c r="D158" t="s">
        <v>16</v>
      </c>
      <c r="E158" t="s">
        <v>188</v>
      </c>
      <c r="F158">
        <v>2</v>
      </c>
      <c r="H158" s="6">
        <f>_xlfn.XLOOKUP(A158,Foglio6!A:A,Foglio6!B:B,0)</f>
        <v>0</v>
      </c>
      <c r="I158">
        <f>SUM(_xlfn.XLOOKUP(A158,Foglio6!A:A,Foglio6!E:E,0),_xlfn.XLOOKUP(A158,Foglio6!A:A,Foglio6!F:F,0))</f>
        <v>0</v>
      </c>
      <c r="L158"/>
    </row>
    <row r="159" spans="1:12" x14ac:dyDescent="0.3">
      <c r="A159" t="s">
        <v>486</v>
      </c>
      <c r="B159" t="s">
        <v>157</v>
      </c>
      <c r="C159">
        <v>26</v>
      </c>
      <c r="D159" t="s">
        <v>16</v>
      </c>
      <c r="E159" t="s">
        <v>188</v>
      </c>
      <c r="F159">
        <v>2</v>
      </c>
      <c r="H159" s="6">
        <f>_xlfn.XLOOKUP(A159,Foglio6!A:A,Foglio6!B:B,0)</f>
        <v>0</v>
      </c>
      <c r="I159">
        <f>SUM(_xlfn.XLOOKUP(A159,Foglio6!A:A,Foglio6!E:E,0),_xlfn.XLOOKUP(A159,Foglio6!A:A,Foglio6!F:F,0))</f>
        <v>0</v>
      </c>
      <c r="L159"/>
    </row>
    <row r="160" spans="1:12" x14ac:dyDescent="0.3">
      <c r="A160" t="s">
        <v>499</v>
      </c>
      <c r="B160" t="s">
        <v>33</v>
      </c>
      <c r="C160">
        <v>38</v>
      </c>
      <c r="D160" t="s">
        <v>16</v>
      </c>
      <c r="E160" t="s">
        <v>131</v>
      </c>
      <c r="F160">
        <v>2</v>
      </c>
      <c r="H160" s="6">
        <f>_xlfn.XLOOKUP(A160,Foglio6!A:A,Foglio6!B:B,0)</f>
        <v>0</v>
      </c>
      <c r="I160">
        <f>SUM(_xlfn.XLOOKUP(A160,Foglio6!A:A,Foglio6!E:E,0),_xlfn.XLOOKUP(A160,Foglio6!A:A,Foglio6!F:F,0))</f>
        <v>0</v>
      </c>
      <c r="L160"/>
    </row>
    <row r="161" spans="1:12" x14ac:dyDescent="0.3">
      <c r="A161" t="s">
        <v>483</v>
      </c>
      <c r="B161" t="s">
        <v>25</v>
      </c>
      <c r="C161">
        <v>20</v>
      </c>
      <c r="D161" t="s">
        <v>16</v>
      </c>
      <c r="E161" t="s">
        <v>146</v>
      </c>
      <c r="F161">
        <v>2</v>
      </c>
      <c r="H161" s="6">
        <f>_xlfn.XLOOKUP(A161,Foglio6!A:A,Foglio6!B:B,0)</f>
        <v>0</v>
      </c>
      <c r="I161">
        <f>SUM(_xlfn.XLOOKUP(A161,Foglio6!A:A,Foglio6!E:E,0),_xlfn.XLOOKUP(A161,Foglio6!A:A,Foglio6!F:F,0))</f>
        <v>0</v>
      </c>
      <c r="L161"/>
    </row>
    <row r="162" spans="1:12" x14ac:dyDescent="0.3">
      <c r="A162" t="s">
        <v>497</v>
      </c>
      <c r="B162" t="s">
        <v>42</v>
      </c>
      <c r="C162">
        <v>27</v>
      </c>
      <c r="D162" t="s">
        <v>16</v>
      </c>
      <c r="E162" t="s">
        <v>146</v>
      </c>
      <c r="F162">
        <v>2</v>
      </c>
      <c r="H162" s="6">
        <f>_xlfn.XLOOKUP(A162,Foglio6!A:A,Foglio6!B:B,0)</f>
        <v>0</v>
      </c>
      <c r="I162">
        <f>SUM(_xlfn.XLOOKUP(A162,Foglio6!A:A,Foglio6!E:E,0),_xlfn.XLOOKUP(A162,Foglio6!A:A,Foglio6!F:F,0))</f>
        <v>0</v>
      </c>
      <c r="L162"/>
    </row>
    <row r="163" spans="1:12" x14ac:dyDescent="0.3">
      <c r="A163" t="s">
        <v>484</v>
      </c>
      <c r="B163" t="s">
        <v>94</v>
      </c>
      <c r="C163">
        <v>26</v>
      </c>
      <c r="D163" t="s">
        <v>16</v>
      </c>
      <c r="E163" t="s">
        <v>171</v>
      </c>
      <c r="F163">
        <v>2</v>
      </c>
      <c r="H163" s="6">
        <f>_xlfn.XLOOKUP(A163,Foglio6!A:A,Foglio6!B:B,0)</f>
        <v>0</v>
      </c>
      <c r="I163">
        <f>SUM(_xlfn.XLOOKUP(A163,Foglio6!A:A,Foglio6!E:E,0),_xlfn.XLOOKUP(A163,Foglio6!A:A,Foglio6!F:F,0))</f>
        <v>0</v>
      </c>
      <c r="L163"/>
    </row>
    <row r="164" spans="1:12" x14ac:dyDescent="0.3">
      <c r="A164" t="s">
        <v>491</v>
      </c>
      <c r="B164" t="s">
        <v>178</v>
      </c>
      <c r="C164">
        <v>26</v>
      </c>
      <c r="D164" t="s">
        <v>16</v>
      </c>
      <c r="E164" t="s">
        <v>88</v>
      </c>
      <c r="F164">
        <v>2</v>
      </c>
      <c r="H164" s="6">
        <f>_xlfn.XLOOKUP(A164,Foglio6!A:A,Foglio6!B:B,0)</f>
        <v>0</v>
      </c>
      <c r="I164">
        <f>SUM(_xlfn.XLOOKUP(A164,Foglio6!A:A,Foglio6!E:E,0),_xlfn.XLOOKUP(A164,Foglio6!A:A,Foglio6!F:F,0))</f>
        <v>0</v>
      </c>
      <c r="L164"/>
    </row>
    <row r="165" spans="1:12" x14ac:dyDescent="0.3">
      <c r="A165" t="s">
        <v>492</v>
      </c>
      <c r="B165" t="s">
        <v>14</v>
      </c>
      <c r="C165">
        <v>22</v>
      </c>
      <c r="D165" t="s">
        <v>16</v>
      </c>
      <c r="E165" t="s">
        <v>88</v>
      </c>
      <c r="F165">
        <v>2</v>
      </c>
      <c r="H165" s="6">
        <f>_xlfn.XLOOKUP(A165,Foglio6!A:A,Foglio6!B:B,0)</f>
        <v>0</v>
      </c>
      <c r="I165">
        <f>SUM(_xlfn.XLOOKUP(A165,Foglio6!A:A,Foglio6!E:E,0),_xlfn.XLOOKUP(A165,Foglio6!A:A,Foglio6!F:F,0))</f>
        <v>0</v>
      </c>
      <c r="L165"/>
    </row>
    <row r="166" spans="1:12" x14ac:dyDescent="0.3">
      <c r="A166" t="s">
        <v>498</v>
      </c>
      <c r="B166" t="s">
        <v>14</v>
      </c>
      <c r="C166">
        <v>31</v>
      </c>
      <c r="D166" t="s">
        <v>16</v>
      </c>
      <c r="E166" t="s">
        <v>174</v>
      </c>
      <c r="F166">
        <v>2</v>
      </c>
      <c r="H166" s="6">
        <f>_xlfn.XLOOKUP(A166,Foglio6!A:A,Foglio6!B:B,0)</f>
        <v>0</v>
      </c>
      <c r="I166">
        <f>SUM(_xlfn.XLOOKUP(A166,Foglio6!A:A,Foglio6!E:E,0),_xlfn.XLOOKUP(A166,Foglio6!A:A,Foglio6!F:F,0))</f>
        <v>0</v>
      </c>
      <c r="L166"/>
    </row>
    <row r="167" spans="1:12" x14ac:dyDescent="0.3">
      <c r="A167" t="s">
        <v>488</v>
      </c>
      <c r="B167" t="s">
        <v>42</v>
      </c>
      <c r="C167">
        <v>19</v>
      </c>
      <c r="D167" t="s">
        <v>16</v>
      </c>
      <c r="E167" t="s">
        <v>88</v>
      </c>
      <c r="F167">
        <v>2</v>
      </c>
      <c r="H167" s="6">
        <f>_xlfn.XLOOKUP(A167,Foglio6!A:A,Foglio6!B:B,0)</f>
        <v>0</v>
      </c>
      <c r="I167">
        <f>SUM(_xlfn.XLOOKUP(A167,Foglio6!A:A,Foglio6!E:E,0),_xlfn.XLOOKUP(A167,Foglio6!A:A,Foglio6!F:F,0))</f>
        <v>0</v>
      </c>
      <c r="L167"/>
    </row>
    <row r="168" spans="1:12" x14ac:dyDescent="0.3">
      <c r="A168" t="s">
        <v>490</v>
      </c>
      <c r="B168" t="s">
        <v>178</v>
      </c>
      <c r="C168">
        <v>27</v>
      </c>
      <c r="D168" t="s">
        <v>16</v>
      </c>
      <c r="E168" t="s">
        <v>188</v>
      </c>
      <c r="F168">
        <v>2</v>
      </c>
      <c r="H168" s="6">
        <f>_xlfn.XLOOKUP(A168,Foglio6!A:A,Foglio6!B:B,0)</f>
        <v>0</v>
      </c>
      <c r="I168">
        <f>SUM(_xlfn.XLOOKUP(A168,Foglio6!A:A,Foglio6!E:E,0),_xlfn.XLOOKUP(A168,Foglio6!A:A,Foglio6!F:F,0))</f>
        <v>0</v>
      </c>
      <c r="L168"/>
    </row>
    <row r="169" spans="1:12" x14ac:dyDescent="0.3">
      <c r="A169" t="s">
        <v>487</v>
      </c>
      <c r="B169" t="s">
        <v>157</v>
      </c>
      <c r="C169">
        <v>25</v>
      </c>
      <c r="D169" t="s">
        <v>16</v>
      </c>
      <c r="E169" t="s">
        <v>131</v>
      </c>
      <c r="F169">
        <v>2</v>
      </c>
      <c r="H169" s="6">
        <f>_xlfn.XLOOKUP(A169,Foglio6!A:A,Foglio6!B:B,0)</f>
        <v>0</v>
      </c>
      <c r="I169">
        <f>SUM(_xlfn.XLOOKUP(A169,Foglio6!A:A,Foglio6!E:E,0),_xlfn.XLOOKUP(A169,Foglio6!A:A,Foglio6!F:F,0))</f>
        <v>0</v>
      </c>
      <c r="L169"/>
    </row>
    <row r="170" spans="1:12" x14ac:dyDescent="0.3">
      <c r="A170" t="s">
        <v>500</v>
      </c>
      <c r="B170" t="s">
        <v>55</v>
      </c>
      <c r="C170">
        <v>33</v>
      </c>
      <c r="D170" t="s">
        <v>16</v>
      </c>
      <c r="E170" t="s">
        <v>111</v>
      </c>
      <c r="F170">
        <v>2</v>
      </c>
      <c r="H170" s="6">
        <f>_xlfn.XLOOKUP(A170,Foglio6!A:A,Foglio6!B:B,0)</f>
        <v>0</v>
      </c>
      <c r="I170">
        <f>SUM(_xlfn.XLOOKUP(A170,Foglio6!A:A,Foglio6!E:E,0),_xlfn.XLOOKUP(A170,Foglio6!A:A,Foglio6!F:F,0))</f>
        <v>0</v>
      </c>
      <c r="L170"/>
    </row>
    <row r="171" spans="1:12" x14ac:dyDescent="0.3">
      <c r="A171" t="s">
        <v>501</v>
      </c>
      <c r="B171" t="s">
        <v>29</v>
      </c>
      <c r="C171">
        <v>32</v>
      </c>
      <c r="D171" t="s">
        <v>16</v>
      </c>
      <c r="E171" t="s">
        <v>88</v>
      </c>
      <c r="F171">
        <v>2</v>
      </c>
      <c r="H171" s="6">
        <f>_xlfn.XLOOKUP(A171,Foglio6!A:A,Foglio6!B:B,0)</f>
        <v>0</v>
      </c>
      <c r="I171">
        <f>SUM(_xlfn.XLOOKUP(A171,Foglio6!A:A,Foglio6!E:E,0),_xlfn.XLOOKUP(A171,Foglio6!A:A,Foglio6!F:F,0))</f>
        <v>0</v>
      </c>
      <c r="L171"/>
    </row>
    <row r="172" spans="1:12" x14ac:dyDescent="0.3">
      <c r="A172" t="s">
        <v>493</v>
      </c>
      <c r="B172" t="s">
        <v>94</v>
      </c>
      <c r="C172">
        <v>22</v>
      </c>
      <c r="D172" t="s">
        <v>16</v>
      </c>
      <c r="E172" t="s">
        <v>131</v>
      </c>
      <c r="F172">
        <v>2</v>
      </c>
      <c r="H172" s="6">
        <f>_xlfn.XLOOKUP(A172,Foglio6!A:A,Foglio6!B:B,0)</f>
        <v>0</v>
      </c>
      <c r="I172">
        <f>SUM(_xlfn.XLOOKUP(A172,Foglio6!A:A,Foglio6!E:E,0),_xlfn.XLOOKUP(A172,Foglio6!A:A,Foglio6!F:F,0))</f>
        <v>0</v>
      </c>
      <c r="L172"/>
    </row>
    <row r="173" spans="1:12" x14ac:dyDescent="0.3">
      <c r="A173" t="s">
        <v>527</v>
      </c>
      <c r="B173" t="s">
        <v>142</v>
      </c>
      <c r="C173">
        <v>26</v>
      </c>
      <c r="D173" t="s">
        <v>16</v>
      </c>
      <c r="E173" t="s">
        <v>88</v>
      </c>
      <c r="F173">
        <v>1</v>
      </c>
      <c r="H173" s="6">
        <f>_xlfn.XLOOKUP(A173,Foglio6!A:A,Foglio6!B:B,0)</f>
        <v>0</v>
      </c>
      <c r="I173">
        <f>SUM(_xlfn.XLOOKUP(A173,Foglio6!A:A,Foglio6!E:E,0),_xlfn.XLOOKUP(A173,Foglio6!A:A,Foglio6!F:F,0))</f>
        <v>0</v>
      </c>
      <c r="L173"/>
    </row>
    <row r="174" spans="1:12" x14ac:dyDescent="0.3">
      <c r="A174" t="s">
        <v>528</v>
      </c>
      <c r="B174" t="s">
        <v>19</v>
      </c>
      <c r="C174">
        <v>33</v>
      </c>
      <c r="D174" t="s">
        <v>16</v>
      </c>
      <c r="E174" t="s">
        <v>88</v>
      </c>
      <c r="F174">
        <v>1</v>
      </c>
      <c r="H174" s="6">
        <f>_xlfn.XLOOKUP(A174,Foglio6!A:A,Foglio6!B:B,0)</f>
        <v>0</v>
      </c>
      <c r="I174">
        <f>SUM(_xlfn.XLOOKUP(A174,Foglio6!A:A,Foglio6!E:E,0),_xlfn.XLOOKUP(A174,Foglio6!A:A,Foglio6!F:F,0))</f>
        <v>0</v>
      </c>
      <c r="L174"/>
    </row>
    <row r="175" spans="1:12" x14ac:dyDescent="0.3">
      <c r="A175" t="s">
        <v>520</v>
      </c>
      <c r="B175" t="s">
        <v>94</v>
      </c>
      <c r="C175">
        <v>18</v>
      </c>
      <c r="D175" t="s">
        <v>16</v>
      </c>
      <c r="E175" t="s">
        <v>146</v>
      </c>
      <c r="F175">
        <v>1</v>
      </c>
      <c r="H175" s="6">
        <f>_xlfn.XLOOKUP(A175,Foglio6!A:A,Foglio6!B:B,0)</f>
        <v>0</v>
      </c>
      <c r="I175">
        <f>SUM(_xlfn.XLOOKUP(A175,Foglio6!A:A,Foglio6!E:E,0),_xlfn.XLOOKUP(A175,Foglio6!A:A,Foglio6!F:F,0))</f>
        <v>0</v>
      </c>
      <c r="L175"/>
    </row>
    <row r="176" spans="1:12" x14ac:dyDescent="0.3">
      <c r="A176" t="s">
        <v>524</v>
      </c>
      <c r="B176" t="s">
        <v>74</v>
      </c>
      <c r="C176">
        <v>22</v>
      </c>
      <c r="D176" t="s">
        <v>16</v>
      </c>
      <c r="E176" t="s">
        <v>146</v>
      </c>
      <c r="F176">
        <v>1</v>
      </c>
      <c r="H176" s="6">
        <f>_xlfn.XLOOKUP(A176,Foglio6!A:A,Foglio6!B:B,0)</f>
        <v>0</v>
      </c>
      <c r="I176">
        <f>SUM(_xlfn.XLOOKUP(A176,Foglio6!A:A,Foglio6!E:E,0),_xlfn.XLOOKUP(A176,Foglio6!A:A,Foglio6!F:F,0))</f>
        <v>0</v>
      </c>
      <c r="L176"/>
    </row>
    <row r="177" spans="1:12" x14ac:dyDescent="0.3">
      <c r="A177" t="s">
        <v>523</v>
      </c>
      <c r="B177" t="s">
        <v>45</v>
      </c>
      <c r="C177">
        <v>26</v>
      </c>
      <c r="D177" t="s">
        <v>16</v>
      </c>
      <c r="E177" t="s">
        <v>88</v>
      </c>
      <c r="F177">
        <v>1</v>
      </c>
      <c r="H177" s="6">
        <f>_xlfn.XLOOKUP(A177,Foglio6!A:A,Foglio6!B:B,0)</f>
        <v>0</v>
      </c>
      <c r="I177">
        <f>SUM(_xlfn.XLOOKUP(A177,Foglio6!A:A,Foglio6!E:E,0),_xlfn.XLOOKUP(A177,Foglio6!A:A,Foglio6!F:F,0))</f>
        <v>0</v>
      </c>
      <c r="L177"/>
    </row>
    <row r="178" spans="1:12" x14ac:dyDescent="0.3">
      <c r="A178" t="s">
        <v>519</v>
      </c>
      <c r="B178" t="s">
        <v>157</v>
      </c>
      <c r="C178">
        <v>23</v>
      </c>
      <c r="D178" t="s">
        <v>16</v>
      </c>
      <c r="E178" t="s">
        <v>88</v>
      </c>
      <c r="F178">
        <v>1</v>
      </c>
      <c r="H178" s="6">
        <f>_xlfn.XLOOKUP(A178,Foglio6!A:A,Foglio6!B:B,0)</f>
        <v>0</v>
      </c>
      <c r="I178">
        <f>SUM(_xlfn.XLOOKUP(A178,Foglio6!A:A,Foglio6!E:E,0),_xlfn.XLOOKUP(A178,Foglio6!A:A,Foglio6!F:F,0))</f>
        <v>0</v>
      </c>
      <c r="L178"/>
    </row>
    <row r="179" spans="1:12" x14ac:dyDescent="0.3">
      <c r="A179" t="s">
        <v>522</v>
      </c>
      <c r="B179" t="s">
        <v>45</v>
      </c>
      <c r="C179">
        <v>23</v>
      </c>
      <c r="D179" t="s">
        <v>16</v>
      </c>
      <c r="E179" t="s">
        <v>188</v>
      </c>
      <c r="F179">
        <v>1</v>
      </c>
      <c r="H179" s="6">
        <f>_xlfn.XLOOKUP(A179,Foglio6!A:A,Foglio6!B:B,0)</f>
        <v>0</v>
      </c>
      <c r="I179">
        <f>SUM(_xlfn.XLOOKUP(A179,Foglio6!A:A,Foglio6!E:E,0),_xlfn.XLOOKUP(A179,Foglio6!A:A,Foglio6!F:F,0))</f>
        <v>0</v>
      </c>
      <c r="L179"/>
    </row>
    <row r="180" spans="1:12" x14ac:dyDescent="0.3">
      <c r="A180" t="s">
        <v>521</v>
      </c>
      <c r="B180" t="s">
        <v>11</v>
      </c>
      <c r="C180">
        <v>21</v>
      </c>
      <c r="D180" t="s">
        <v>16</v>
      </c>
      <c r="E180" t="s">
        <v>88</v>
      </c>
      <c r="F180">
        <v>1</v>
      </c>
      <c r="H180" s="6">
        <f>_xlfn.XLOOKUP(A180,Foglio6!A:A,Foglio6!B:B,0)</f>
        <v>0</v>
      </c>
      <c r="I180">
        <f>SUM(_xlfn.XLOOKUP(A180,Foglio6!A:A,Foglio6!E:E,0),_xlfn.XLOOKUP(A180,Foglio6!A:A,Foglio6!F:F,0))</f>
        <v>0</v>
      </c>
      <c r="L180"/>
    </row>
  </sheetData>
  <sortState xmlns:xlrd2="http://schemas.microsoft.com/office/spreadsheetml/2017/richdata2" ref="A3:M180">
    <sortCondition descending="1" ref="H3:H18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7B89-A8CB-4E4B-B3CA-078957164B30}">
  <dimension ref="A1:I30"/>
  <sheetViews>
    <sheetView tabSelected="1" workbookViewId="0">
      <selection activeCell="I12" sqref="I12"/>
    </sheetView>
  </sheetViews>
  <sheetFormatPr defaultRowHeight="14.4" x14ac:dyDescent="0.3"/>
  <cols>
    <col min="2" max="2" width="20.6640625" customWidth="1"/>
  </cols>
  <sheetData>
    <row r="1" spans="1:9" x14ac:dyDescent="0.3">
      <c r="A1" s="1" t="s">
        <v>715</v>
      </c>
    </row>
    <row r="3" spans="1:9" x14ac:dyDescent="0.3">
      <c r="A3" s="1" t="s">
        <v>716</v>
      </c>
      <c r="B3" s="1" t="s">
        <v>724</v>
      </c>
      <c r="C3">
        <v>35</v>
      </c>
      <c r="D3">
        <v>35</v>
      </c>
      <c r="E3">
        <f>SUM(C3:C5)</f>
        <v>46</v>
      </c>
      <c r="G3" s="20">
        <f>SUM(E3,E7,E16,E25)</f>
        <v>476</v>
      </c>
      <c r="I3" s="21">
        <f>SUM(500-G3)</f>
        <v>24</v>
      </c>
    </row>
    <row r="4" spans="1:9" x14ac:dyDescent="0.3">
      <c r="A4" s="1" t="s">
        <v>716</v>
      </c>
      <c r="B4" s="1" t="s">
        <v>723</v>
      </c>
      <c r="C4">
        <v>10</v>
      </c>
      <c r="D4">
        <v>9</v>
      </c>
    </row>
    <row r="5" spans="1:9" x14ac:dyDescent="0.3">
      <c r="A5" s="1" t="s">
        <v>716</v>
      </c>
      <c r="B5" s="1" t="s">
        <v>725</v>
      </c>
      <c r="C5">
        <v>1</v>
      </c>
      <c r="D5">
        <v>1</v>
      </c>
      <c r="G5" s="20">
        <f>SUM(D3:D30)</f>
        <v>541</v>
      </c>
      <c r="I5" s="21">
        <f>SUM(500-G5)</f>
        <v>-41</v>
      </c>
    </row>
    <row r="7" spans="1:9" x14ac:dyDescent="0.3">
      <c r="A7" s="1" t="s">
        <v>718</v>
      </c>
      <c r="B7" s="1" t="s">
        <v>737</v>
      </c>
      <c r="C7">
        <v>30</v>
      </c>
      <c r="D7">
        <v>35</v>
      </c>
      <c r="E7">
        <f>SUM(C7:C14)</f>
        <v>59</v>
      </c>
    </row>
    <row r="8" spans="1:9" x14ac:dyDescent="0.3">
      <c r="A8" s="1" t="s">
        <v>718</v>
      </c>
      <c r="B8" s="1" t="s">
        <v>738</v>
      </c>
      <c r="C8">
        <v>10</v>
      </c>
      <c r="D8">
        <v>10</v>
      </c>
    </row>
    <row r="9" spans="1:9" x14ac:dyDescent="0.3">
      <c r="A9" s="1" t="s">
        <v>718</v>
      </c>
      <c r="B9" s="1" t="s">
        <v>739</v>
      </c>
      <c r="C9">
        <v>10</v>
      </c>
      <c r="D9">
        <v>10</v>
      </c>
    </row>
    <row r="10" spans="1:9" x14ac:dyDescent="0.3">
      <c r="A10" s="1" t="s">
        <v>718</v>
      </c>
      <c r="B10" t="s">
        <v>736</v>
      </c>
      <c r="C10">
        <v>5</v>
      </c>
      <c r="D10">
        <v>5</v>
      </c>
    </row>
    <row r="11" spans="1:9" x14ac:dyDescent="0.3">
      <c r="A11" s="1" t="s">
        <v>718</v>
      </c>
      <c r="B11" s="1" t="s">
        <v>731</v>
      </c>
      <c r="C11">
        <v>1</v>
      </c>
      <c r="D11">
        <v>1</v>
      </c>
    </row>
    <row r="12" spans="1:9" x14ac:dyDescent="0.3">
      <c r="A12" s="1" t="s">
        <v>718</v>
      </c>
      <c r="B12" s="1" t="s">
        <v>730</v>
      </c>
      <c r="C12">
        <v>1</v>
      </c>
      <c r="D12">
        <v>1</v>
      </c>
    </row>
    <row r="13" spans="1:9" x14ac:dyDescent="0.3">
      <c r="A13" s="1" t="s">
        <v>718</v>
      </c>
      <c r="B13" s="1" t="s">
        <v>729</v>
      </c>
      <c r="C13">
        <v>1</v>
      </c>
      <c r="D13">
        <v>1</v>
      </c>
    </row>
    <row r="14" spans="1:9" x14ac:dyDescent="0.3">
      <c r="A14" s="1" t="s">
        <v>718</v>
      </c>
      <c r="B14" s="1" t="s">
        <v>728</v>
      </c>
      <c r="C14">
        <v>1</v>
      </c>
      <c r="D14">
        <v>1</v>
      </c>
    </row>
    <row r="16" spans="1:9" x14ac:dyDescent="0.3">
      <c r="A16" s="1" t="s">
        <v>717</v>
      </c>
      <c r="B16" s="1" t="s">
        <v>727</v>
      </c>
      <c r="C16">
        <v>40</v>
      </c>
      <c r="D16">
        <v>40</v>
      </c>
      <c r="E16">
        <f>SUM(C16:C23)</f>
        <v>114</v>
      </c>
    </row>
    <row r="17" spans="1:6" x14ac:dyDescent="0.3">
      <c r="A17" s="1" t="s">
        <v>717</v>
      </c>
      <c r="B17" s="1" t="s">
        <v>742</v>
      </c>
      <c r="C17">
        <v>25</v>
      </c>
      <c r="D17">
        <v>25</v>
      </c>
    </row>
    <row r="18" spans="1:6" x14ac:dyDescent="0.3">
      <c r="A18" s="1" t="s">
        <v>717</v>
      </c>
      <c r="B18" t="s">
        <v>741</v>
      </c>
      <c r="C18">
        <v>30</v>
      </c>
      <c r="D18">
        <v>30</v>
      </c>
    </row>
    <row r="19" spans="1:6" x14ac:dyDescent="0.3">
      <c r="A19" s="1" t="s">
        <v>717</v>
      </c>
      <c r="B19" t="s">
        <v>740</v>
      </c>
      <c r="C19">
        <v>15</v>
      </c>
      <c r="D19">
        <v>15</v>
      </c>
    </row>
    <row r="20" spans="1:6" x14ac:dyDescent="0.3">
      <c r="A20" s="1" t="s">
        <v>717</v>
      </c>
      <c r="B20" s="1" t="s">
        <v>734</v>
      </c>
      <c r="C20">
        <v>1</v>
      </c>
      <c r="D20">
        <v>1</v>
      </c>
    </row>
    <row r="21" spans="1:6" x14ac:dyDescent="0.3">
      <c r="A21" s="1" t="s">
        <v>717</v>
      </c>
      <c r="B21" s="1" t="s">
        <v>733</v>
      </c>
      <c r="C21">
        <v>1</v>
      </c>
      <c r="D21">
        <v>1</v>
      </c>
    </row>
    <row r="22" spans="1:6" x14ac:dyDescent="0.3">
      <c r="A22" s="1" t="s">
        <v>717</v>
      </c>
      <c r="B22" s="1" t="s">
        <v>732</v>
      </c>
      <c r="C22">
        <v>1</v>
      </c>
      <c r="D22">
        <v>1</v>
      </c>
    </row>
    <row r="23" spans="1:6" x14ac:dyDescent="0.3">
      <c r="A23" s="1" t="s">
        <v>717</v>
      </c>
      <c r="B23" s="1" t="s">
        <v>726</v>
      </c>
      <c r="C23">
        <v>1</v>
      </c>
      <c r="D23">
        <v>2</v>
      </c>
      <c r="F23" s="1" t="s">
        <v>735</v>
      </c>
    </row>
    <row r="25" spans="1:6" x14ac:dyDescent="0.3">
      <c r="A25" s="1" t="s">
        <v>719</v>
      </c>
      <c r="B25" s="1" t="s">
        <v>693</v>
      </c>
      <c r="C25">
        <v>180</v>
      </c>
      <c r="D25">
        <v>200</v>
      </c>
      <c r="E25">
        <f>SUM(C25:C30)</f>
        <v>257</v>
      </c>
    </row>
    <row r="26" spans="1:6" x14ac:dyDescent="0.3">
      <c r="A26" s="1" t="s">
        <v>719</v>
      </c>
      <c r="B26" s="1" t="s">
        <v>701</v>
      </c>
      <c r="C26">
        <v>70</v>
      </c>
      <c r="D26">
        <v>73</v>
      </c>
    </row>
    <row r="27" spans="1:6" x14ac:dyDescent="0.3">
      <c r="A27" s="1" t="s">
        <v>719</v>
      </c>
      <c r="B27" s="1" t="s">
        <v>646</v>
      </c>
      <c r="C27">
        <v>1</v>
      </c>
      <c r="D27">
        <v>9</v>
      </c>
    </row>
    <row r="28" spans="1:6" x14ac:dyDescent="0.3">
      <c r="A28" s="1" t="s">
        <v>719</v>
      </c>
      <c r="B28" s="1" t="s">
        <v>722</v>
      </c>
      <c r="C28">
        <v>1</v>
      </c>
      <c r="D28">
        <v>13</v>
      </c>
    </row>
    <row r="29" spans="1:6" x14ac:dyDescent="0.3">
      <c r="A29" s="1" t="s">
        <v>719</v>
      </c>
      <c r="B29" s="1" t="s">
        <v>721</v>
      </c>
      <c r="C29">
        <v>4</v>
      </c>
      <c r="D29">
        <v>1</v>
      </c>
    </row>
    <row r="30" spans="1:6" x14ac:dyDescent="0.3">
      <c r="A30" s="1" t="s">
        <v>719</v>
      </c>
      <c r="B30" s="1" t="s">
        <v>720</v>
      </c>
      <c r="C30">
        <v>1</v>
      </c>
      <c r="D30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D078-37BE-4E07-BE1C-18659D788562}">
  <dimension ref="A1:S184"/>
  <sheetViews>
    <sheetView workbookViewId="0">
      <selection activeCell="A3" sqref="A3:H82"/>
    </sheetView>
  </sheetViews>
  <sheetFormatPr defaultRowHeight="14.4" x14ac:dyDescent="0.3"/>
  <cols>
    <col min="1" max="1" width="21.109375" customWidth="1"/>
    <col min="7" max="7" width="0.88671875" style="8" customWidth="1"/>
    <col min="8" max="8" width="7.109375" customWidth="1"/>
    <col min="9" max="9" width="13.44140625" customWidth="1"/>
    <col min="14" max="14" width="1.5546875" customWidth="1"/>
    <col min="16" max="16" width="29.77734375" customWidth="1"/>
    <col min="17" max="17" width="2.44140625" customWidth="1"/>
    <col min="18" max="18" width="31.6640625" customWidth="1"/>
  </cols>
  <sheetData>
    <row r="1" spans="1:19" x14ac:dyDescent="0.3">
      <c r="A1" t="s">
        <v>677</v>
      </c>
      <c r="B1" t="s">
        <v>676</v>
      </c>
      <c r="C1" t="s">
        <v>675</v>
      </c>
      <c r="D1" t="s">
        <v>674</v>
      </c>
      <c r="E1" t="s">
        <v>673</v>
      </c>
      <c r="F1" t="s">
        <v>672</v>
      </c>
      <c r="H1" t="s">
        <v>678</v>
      </c>
      <c r="I1" t="s">
        <v>679</v>
      </c>
      <c r="J1" t="s">
        <v>680</v>
      </c>
      <c r="L1" s="1" t="s">
        <v>681</v>
      </c>
      <c r="O1" s="1" t="s">
        <v>691</v>
      </c>
      <c r="P1" s="11" t="s">
        <v>18</v>
      </c>
      <c r="R1" s="12" t="s">
        <v>66</v>
      </c>
      <c r="S1">
        <v>40</v>
      </c>
    </row>
    <row r="2" spans="1:19" x14ac:dyDescent="0.3">
      <c r="P2" s="11" t="s">
        <v>58</v>
      </c>
      <c r="R2" s="12" t="s">
        <v>47</v>
      </c>
    </row>
    <row r="3" spans="1:19" x14ac:dyDescent="0.3">
      <c r="A3" s="10" t="s">
        <v>18</v>
      </c>
      <c r="B3" t="s">
        <v>19</v>
      </c>
      <c r="C3">
        <v>22</v>
      </c>
      <c r="D3" t="s">
        <v>20</v>
      </c>
      <c r="E3" t="s">
        <v>21</v>
      </c>
      <c r="F3">
        <v>125</v>
      </c>
      <c r="G3" s="8">
        <v>0</v>
      </c>
      <c r="H3" s="6">
        <f>_xlfn.XLOOKUP(A3,Foglio6!A:A,Foglio6!B:B,0)</f>
        <v>19</v>
      </c>
      <c r="I3">
        <f>SUM(_xlfn.XLOOKUP(A3,Foglio6!A:A,Foglio6!E:E,0),_xlfn.XLOOKUP(A3,Foglio6!A:A,Foglio6!F:F,0))</f>
        <v>4</v>
      </c>
      <c r="J3">
        <v>0</v>
      </c>
      <c r="K3">
        <v>0</v>
      </c>
      <c r="L3">
        <v>2</v>
      </c>
      <c r="P3" s="11" t="s">
        <v>26</v>
      </c>
      <c r="R3" s="12" t="s">
        <v>51</v>
      </c>
    </row>
    <row r="4" spans="1:19" x14ac:dyDescent="0.3">
      <c r="A4" s="10" t="s">
        <v>22</v>
      </c>
      <c r="B4" t="s">
        <v>14</v>
      </c>
      <c r="C4">
        <v>30</v>
      </c>
      <c r="D4" t="s">
        <v>20</v>
      </c>
      <c r="E4" t="s">
        <v>23</v>
      </c>
      <c r="F4">
        <v>120</v>
      </c>
      <c r="G4" s="8">
        <v>0</v>
      </c>
      <c r="H4" s="6">
        <f>_xlfn.XLOOKUP(A4,Foglio6!A:A,Foglio6!B:B,0)</f>
        <v>19</v>
      </c>
      <c r="I4">
        <f>SUM(_xlfn.XLOOKUP(A4,Foglio6!A:A,Foglio6!E:E,0),_xlfn.XLOOKUP(A4,Foglio6!A:A,Foglio6!F:F,0))</f>
        <v>0</v>
      </c>
      <c r="J4">
        <v>0</v>
      </c>
      <c r="K4">
        <v>0</v>
      </c>
      <c r="L4">
        <v>2</v>
      </c>
      <c r="P4" s="11" t="s">
        <v>133</v>
      </c>
      <c r="R4" s="12" t="s">
        <v>56</v>
      </c>
    </row>
    <row r="5" spans="1:19" x14ac:dyDescent="0.3">
      <c r="A5" s="10" t="s">
        <v>26</v>
      </c>
      <c r="B5" t="s">
        <v>7</v>
      </c>
      <c r="C5">
        <v>32</v>
      </c>
      <c r="D5" t="s">
        <v>20</v>
      </c>
      <c r="E5" t="s">
        <v>27</v>
      </c>
      <c r="F5">
        <v>115</v>
      </c>
      <c r="G5" s="8">
        <v>0</v>
      </c>
      <c r="H5" s="6">
        <f>_xlfn.XLOOKUP(A5,Foglio6!A:A,Foglio6!B:B,0)</f>
        <v>19</v>
      </c>
      <c r="I5">
        <f>SUM(_xlfn.XLOOKUP(A5,Foglio6!A:A,Foglio6!E:E,0),_xlfn.XLOOKUP(A5,Foglio6!A:A,Foglio6!F:F,0))</f>
        <v>6</v>
      </c>
      <c r="J5">
        <v>0</v>
      </c>
      <c r="K5">
        <v>0</v>
      </c>
      <c r="L5">
        <v>2</v>
      </c>
      <c r="P5" s="11" t="s">
        <v>22</v>
      </c>
      <c r="R5" s="12" t="s">
        <v>50</v>
      </c>
    </row>
    <row r="6" spans="1:19" x14ac:dyDescent="0.3">
      <c r="A6" s="10" t="s">
        <v>32</v>
      </c>
      <c r="B6" t="s">
        <v>33</v>
      </c>
      <c r="C6">
        <v>29</v>
      </c>
      <c r="D6" t="s">
        <v>20</v>
      </c>
      <c r="E6" t="s">
        <v>34</v>
      </c>
      <c r="F6">
        <v>100</v>
      </c>
      <c r="G6" s="8">
        <v>0</v>
      </c>
      <c r="H6" s="6">
        <f>_xlfn.XLOOKUP(A6,Foglio6!A:A,Foglio6!B:B,0)</f>
        <v>19</v>
      </c>
      <c r="I6">
        <f>SUM(_xlfn.XLOOKUP(A6,Foglio6!A:A,Foglio6!E:E,0),_xlfn.XLOOKUP(A6,Foglio6!A:A,Foglio6!F:F,0))</f>
        <v>6</v>
      </c>
      <c r="J6">
        <v>0</v>
      </c>
      <c r="K6">
        <v>0</v>
      </c>
      <c r="L6">
        <v>2</v>
      </c>
      <c r="P6" s="11" t="s">
        <v>32</v>
      </c>
      <c r="R6" s="12" t="s">
        <v>119</v>
      </c>
    </row>
    <row r="7" spans="1:19" x14ac:dyDescent="0.3">
      <c r="A7" s="10" t="s">
        <v>40</v>
      </c>
      <c r="B7" t="s">
        <v>25</v>
      </c>
      <c r="C7">
        <v>31</v>
      </c>
      <c r="D7" t="s">
        <v>20</v>
      </c>
      <c r="E7" t="s">
        <v>23</v>
      </c>
      <c r="F7">
        <v>64</v>
      </c>
      <c r="G7" s="8">
        <v>0</v>
      </c>
      <c r="H7" s="6">
        <f>_xlfn.XLOOKUP(A7,Foglio6!A:A,Foglio6!B:B,0)</f>
        <v>19</v>
      </c>
      <c r="I7">
        <f>SUM(_xlfn.XLOOKUP(A7,Foglio6!A:A,Foglio6!E:E,0),_xlfn.XLOOKUP(A7,Foglio6!A:A,Foglio6!F:F,0))</f>
        <v>0</v>
      </c>
      <c r="L7">
        <v>2</v>
      </c>
      <c r="P7" s="11" t="s">
        <v>36</v>
      </c>
      <c r="R7" s="12" t="s">
        <v>685</v>
      </c>
    </row>
    <row r="8" spans="1:19" x14ac:dyDescent="0.3">
      <c r="A8" s="10" t="s">
        <v>50</v>
      </c>
      <c r="B8" t="s">
        <v>42</v>
      </c>
      <c r="C8">
        <v>27</v>
      </c>
      <c r="D8" t="s">
        <v>20</v>
      </c>
      <c r="E8" t="s">
        <v>21</v>
      </c>
      <c r="F8">
        <v>50</v>
      </c>
      <c r="H8" s="6">
        <f>_xlfn.XLOOKUP(A8,Foglio6!A:A,Foglio6!B:B,0)</f>
        <v>19</v>
      </c>
      <c r="I8">
        <f>SUM(_xlfn.XLOOKUP(A8,Foglio6!A:A,Foglio6!E:E,0),_xlfn.XLOOKUP(A8,Foglio6!A:A,Foglio6!F:F,0))</f>
        <v>4</v>
      </c>
      <c r="L8">
        <v>2</v>
      </c>
      <c r="P8" s="11" t="s">
        <v>40</v>
      </c>
      <c r="R8" s="12" t="s">
        <v>686</v>
      </c>
    </row>
    <row r="9" spans="1:19" x14ac:dyDescent="0.3">
      <c r="A9" s="10" t="s">
        <v>66</v>
      </c>
      <c r="B9" t="s">
        <v>7</v>
      </c>
      <c r="C9">
        <v>29</v>
      </c>
      <c r="D9" t="s">
        <v>20</v>
      </c>
      <c r="E9" t="s">
        <v>20</v>
      </c>
      <c r="F9">
        <v>40</v>
      </c>
      <c r="H9" s="6">
        <f>_xlfn.XLOOKUP(A9,Foglio6!A:A,Foglio6!B:B,0)</f>
        <v>19</v>
      </c>
      <c r="I9">
        <f>SUM(_xlfn.XLOOKUP(A9,Foglio6!A:A,Foglio6!E:E,0),_xlfn.XLOOKUP(A9,Foglio6!A:A,Foglio6!F:F,0))</f>
        <v>0</v>
      </c>
      <c r="L9">
        <v>2</v>
      </c>
      <c r="P9" s="11" t="s">
        <v>82</v>
      </c>
      <c r="R9" s="12" t="s">
        <v>54</v>
      </c>
    </row>
    <row r="10" spans="1:19" x14ac:dyDescent="0.3">
      <c r="A10" s="13" t="s">
        <v>99</v>
      </c>
      <c r="B10" t="s">
        <v>25</v>
      </c>
      <c r="C10">
        <v>41</v>
      </c>
      <c r="D10" t="s">
        <v>20</v>
      </c>
      <c r="E10" t="s">
        <v>27</v>
      </c>
      <c r="F10">
        <v>25</v>
      </c>
      <c r="H10" s="6">
        <f>_xlfn.XLOOKUP(A10,Foglio6!A:A,Foglio6!B:B,0)</f>
        <v>19</v>
      </c>
      <c r="I10">
        <f>SUM(_xlfn.XLOOKUP(A10,Foglio6!A:A,Foglio6!E:E,0),_xlfn.XLOOKUP(A10,Foglio6!A:A,Foglio6!F:F,0))</f>
        <v>4</v>
      </c>
      <c r="L10">
        <v>1</v>
      </c>
      <c r="P10" s="11" t="s">
        <v>49</v>
      </c>
      <c r="R10" s="12" t="s">
        <v>65</v>
      </c>
    </row>
    <row r="11" spans="1:19" x14ac:dyDescent="0.3">
      <c r="A11" s="10" t="s">
        <v>119</v>
      </c>
      <c r="B11" t="s">
        <v>42</v>
      </c>
      <c r="C11">
        <v>26</v>
      </c>
      <c r="D11" t="s">
        <v>20</v>
      </c>
      <c r="E11" t="s">
        <v>23</v>
      </c>
      <c r="F11">
        <v>21</v>
      </c>
      <c r="H11" s="6">
        <f>_xlfn.XLOOKUP(A11,Foglio6!A:A,Foglio6!B:B,0)</f>
        <v>19</v>
      </c>
      <c r="I11">
        <f>SUM(_xlfn.XLOOKUP(A11,Foglio6!A:A,Foglio6!E:E,0),_xlfn.XLOOKUP(A11,Foglio6!A:A,Foglio6!F:F,0))</f>
        <v>2</v>
      </c>
      <c r="L11">
        <v>2</v>
      </c>
    </row>
    <row r="12" spans="1:19" x14ac:dyDescent="0.3">
      <c r="A12" s="13" t="s">
        <v>226</v>
      </c>
      <c r="B12" t="s">
        <v>94</v>
      </c>
      <c r="C12">
        <v>30</v>
      </c>
      <c r="D12" t="s">
        <v>20</v>
      </c>
      <c r="E12" t="s">
        <v>27</v>
      </c>
      <c r="F12">
        <v>10</v>
      </c>
      <c r="H12" s="6">
        <f>_xlfn.XLOOKUP(A12,Foglio6!A:A,Foglio6!B:B,0)</f>
        <v>19</v>
      </c>
      <c r="I12">
        <f>SUM(_xlfn.XLOOKUP(A12,Foglio6!A:A,Foglio6!E:E,0),_xlfn.XLOOKUP(A12,Foglio6!A:A,Foglio6!F:F,0))</f>
        <v>0</v>
      </c>
      <c r="L12">
        <v>1</v>
      </c>
      <c r="O12">
        <v>20</v>
      </c>
      <c r="P12" s="14" t="s">
        <v>80</v>
      </c>
      <c r="R12" s="13"/>
      <c r="S12">
        <v>10</v>
      </c>
    </row>
    <row r="13" spans="1:19" x14ac:dyDescent="0.3">
      <c r="A13" s="13" t="s">
        <v>228</v>
      </c>
      <c r="B13" t="s">
        <v>14</v>
      </c>
      <c r="C13">
        <v>32</v>
      </c>
      <c r="D13" t="s">
        <v>20</v>
      </c>
      <c r="E13" t="s">
        <v>27</v>
      </c>
      <c r="F13">
        <v>10</v>
      </c>
      <c r="H13" s="6">
        <f>_xlfn.XLOOKUP(A13,Foglio6!A:A,Foglio6!B:B,0)</f>
        <v>19</v>
      </c>
      <c r="I13">
        <f>SUM(_xlfn.XLOOKUP(A13,Foglio6!A:A,Foglio6!E:E,0),_xlfn.XLOOKUP(A13,Foglio6!A:A,Foglio6!F:F,0))</f>
        <v>0</v>
      </c>
      <c r="L13">
        <v>1</v>
      </c>
      <c r="P13" s="14" t="s">
        <v>85</v>
      </c>
      <c r="R13" s="13"/>
    </row>
    <row r="14" spans="1:19" x14ac:dyDescent="0.3">
      <c r="A14" s="13" t="s">
        <v>301</v>
      </c>
      <c r="B14" t="s">
        <v>94</v>
      </c>
      <c r="C14">
        <v>24</v>
      </c>
      <c r="D14" t="s">
        <v>20</v>
      </c>
      <c r="E14" t="s">
        <v>27</v>
      </c>
      <c r="F14">
        <v>7</v>
      </c>
      <c r="H14" s="6">
        <f>_xlfn.XLOOKUP(A14,Foglio6!A:A,Foglio6!B:B,0)</f>
        <v>19</v>
      </c>
      <c r="I14">
        <f>SUM(_xlfn.XLOOKUP(A14,Foglio6!A:A,Foglio6!E:E,0),_xlfn.XLOOKUP(A14,Foglio6!A:A,Foglio6!F:F,0))</f>
        <v>3</v>
      </c>
      <c r="L14">
        <v>1</v>
      </c>
      <c r="P14" s="14" t="s">
        <v>687</v>
      </c>
      <c r="R14" s="13"/>
    </row>
    <row r="15" spans="1:19" x14ac:dyDescent="0.3">
      <c r="A15" s="10" t="s">
        <v>36</v>
      </c>
      <c r="B15" t="s">
        <v>25</v>
      </c>
      <c r="C15">
        <v>28</v>
      </c>
      <c r="D15" t="s">
        <v>20</v>
      </c>
      <c r="E15" t="s">
        <v>21</v>
      </c>
      <c r="F15">
        <v>90</v>
      </c>
      <c r="G15" s="8">
        <v>0</v>
      </c>
      <c r="H15" s="6">
        <f>_xlfn.XLOOKUP(A15,Foglio6!A:A,Foglio6!B:B,0)</f>
        <v>18</v>
      </c>
      <c r="I15">
        <f>SUM(_xlfn.XLOOKUP(A15,Foglio6!A:A,Foglio6!E:E,0),_xlfn.XLOOKUP(A15,Foglio6!A:A,Foglio6!F:F,0))</f>
        <v>4</v>
      </c>
      <c r="J15">
        <v>0</v>
      </c>
      <c r="K15">
        <v>0</v>
      </c>
      <c r="L15">
        <v>2</v>
      </c>
      <c r="P15" s="14" t="s">
        <v>688</v>
      </c>
      <c r="R15" s="13"/>
    </row>
    <row r="16" spans="1:19" x14ac:dyDescent="0.3">
      <c r="A16" s="10" t="s">
        <v>54</v>
      </c>
      <c r="B16" t="s">
        <v>55</v>
      </c>
      <c r="C16">
        <v>31</v>
      </c>
      <c r="D16" t="s">
        <v>20</v>
      </c>
      <c r="E16" t="s">
        <v>34</v>
      </c>
      <c r="F16">
        <v>46</v>
      </c>
      <c r="H16" s="6">
        <f>_xlfn.XLOOKUP(A16,Foglio6!A:A,Foglio6!B:B,0)</f>
        <v>18</v>
      </c>
      <c r="I16">
        <f>SUM(_xlfn.XLOOKUP(A16,Foglio6!A:A,Foglio6!E:E,0),_xlfn.XLOOKUP(A16,Foglio6!A:A,Foglio6!F:F,0))</f>
        <v>5</v>
      </c>
      <c r="L16">
        <v>1</v>
      </c>
      <c r="P16" s="14" t="s">
        <v>689</v>
      </c>
      <c r="R16" s="13"/>
    </row>
    <row r="17" spans="1:19" x14ac:dyDescent="0.3">
      <c r="A17" s="10" t="s">
        <v>58</v>
      </c>
      <c r="B17" t="s">
        <v>31</v>
      </c>
      <c r="C17">
        <v>23</v>
      </c>
      <c r="D17" t="s">
        <v>20</v>
      </c>
      <c r="E17" t="s">
        <v>23</v>
      </c>
      <c r="F17">
        <v>44</v>
      </c>
      <c r="H17" s="6">
        <f>_xlfn.XLOOKUP(A17,Foglio6!A:A,Foglio6!B:B,0)</f>
        <v>18</v>
      </c>
      <c r="I17">
        <f>SUM(_xlfn.XLOOKUP(A17,Foglio6!A:A,Foglio6!E:E,0),_xlfn.XLOOKUP(A17,Foglio6!A:A,Foglio6!F:F,0))</f>
        <v>1</v>
      </c>
      <c r="L17">
        <v>2</v>
      </c>
      <c r="P17" s="14" t="s">
        <v>690</v>
      </c>
      <c r="R17" s="13"/>
    </row>
    <row r="18" spans="1:19" x14ac:dyDescent="0.3">
      <c r="A18" s="10" t="s">
        <v>65</v>
      </c>
      <c r="B18" t="s">
        <v>64</v>
      </c>
      <c r="C18">
        <v>29</v>
      </c>
      <c r="D18" t="s">
        <v>20</v>
      </c>
      <c r="E18" t="s">
        <v>48</v>
      </c>
      <c r="F18">
        <v>40</v>
      </c>
      <c r="H18" s="6">
        <f>_xlfn.XLOOKUP(A18,Foglio6!A:A,Foglio6!B:B,0)</f>
        <v>18</v>
      </c>
      <c r="I18">
        <f>SUM(_xlfn.XLOOKUP(A18,Foglio6!A:A,Foglio6!E:E,0),_xlfn.XLOOKUP(A18,Foglio6!A:A,Foglio6!F:F,0))</f>
        <v>6</v>
      </c>
      <c r="L18">
        <v>1</v>
      </c>
      <c r="P18" s="14" t="s">
        <v>75</v>
      </c>
      <c r="R18" s="13"/>
    </row>
    <row r="19" spans="1:19" x14ac:dyDescent="0.3">
      <c r="A19" s="10" t="s">
        <v>75</v>
      </c>
      <c r="B19" t="s">
        <v>55</v>
      </c>
      <c r="C19">
        <v>24</v>
      </c>
      <c r="D19" t="s">
        <v>20</v>
      </c>
      <c r="E19" t="s">
        <v>23</v>
      </c>
      <c r="F19">
        <v>32</v>
      </c>
      <c r="H19" s="6">
        <f>_xlfn.XLOOKUP(A19,Foglio6!A:A,Foglio6!B:B,0)</f>
        <v>18</v>
      </c>
      <c r="I19">
        <f>SUM(_xlfn.XLOOKUP(A19,Foglio6!A:A,Foglio6!E:E,0),_xlfn.XLOOKUP(A19,Foglio6!A:A,Foglio6!F:F,0))</f>
        <v>2</v>
      </c>
      <c r="L19">
        <v>1</v>
      </c>
      <c r="P19" s="14" t="s">
        <v>95</v>
      </c>
      <c r="R19" s="13"/>
    </row>
    <row r="20" spans="1:19" x14ac:dyDescent="0.3">
      <c r="A20" s="10" t="s">
        <v>108</v>
      </c>
      <c r="B20" t="s">
        <v>39</v>
      </c>
      <c r="C20">
        <v>27</v>
      </c>
      <c r="D20" t="s">
        <v>20</v>
      </c>
      <c r="E20" t="s">
        <v>27</v>
      </c>
      <c r="F20">
        <v>23</v>
      </c>
      <c r="H20" s="6">
        <f>_xlfn.XLOOKUP(A20,Foglio6!A:A,Foglio6!B:B,0)</f>
        <v>18</v>
      </c>
      <c r="I20">
        <f>SUM(_xlfn.XLOOKUP(A20,Foglio6!A:A,Foglio6!E:E,0),_xlfn.XLOOKUP(A20,Foglio6!A:A,Foglio6!F:F,0))</f>
        <v>0</v>
      </c>
      <c r="L20">
        <v>2</v>
      </c>
      <c r="P20" s="14" t="s">
        <v>105</v>
      </c>
      <c r="R20" s="13"/>
    </row>
    <row r="21" spans="1:19" x14ac:dyDescent="0.3">
      <c r="A21" s="13" t="s">
        <v>121</v>
      </c>
      <c r="B21" t="s">
        <v>11</v>
      </c>
      <c r="C21">
        <v>25</v>
      </c>
      <c r="D21" t="s">
        <v>20</v>
      </c>
      <c r="E21" t="s">
        <v>27</v>
      </c>
      <c r="F21">
        <v>21</v>
      </c>
      <c r="H21" s="6">
        <f>_xlfn.XLOOKUP(A21,Foglio6!A:A,Foglio6!B:B,0)</f>
        <v>18</v>
      </c>
      <c r="I21">
        <f>SUM(_xlfn.XLOOKUP(A21,Foglio6!A:A,Foglio6!E:E,0),_xlfn.XLOOKUP(A21,Foglio6!A:A,Foglio6!F:F,0))</f>
        <v>0</v>
      </c>
      <c r="L21">
        <v>2</v>
      </c>
      <c r="P21" s="14"/>
      <c r="R21" s="13"/>
    </row>
    <row r="22" spans="1:19" x14ac:dyDescent="0.3">
      <c r="A22" s="13" t="s">
        <v>140</v>
      </c>
      <c r="B22" t="s">
        <v>115</v>
      </c>
      <c r="C22">
        <v>25</v>
      </c>
      <c r="D22" t="s">
        <v>20</v>
      </c>
      <c r="E22" t="s">
        <v>20</v>
      </c>
      <c r="F22">
        <v>18</v>
      </c>
      <c r="H22" s="6">
        <f>_xlfn.XLOOKUP(A22,Foglio6!A:A,Foglio6!B:B,0)</f>
        <v>18</v>
      </c>
      <c r="I22">
        <f>SUM(_xlfn.XLOOKUP(A22,Foglio6!A:A,Foglio6!E:E,0),_xlfn.XLOOKUP(A22,Foglio6!A:A,Foglio6!F:F,0))</f>
        <v>3</v>
      </c>
      <c r="L22">
        <v>1</v>
      </c>
    </row>
    <row r="23" spans="1:19" x14ac:dyDescent="0.3">
      <c r="A23" s="13" t="s">
        <v>153</v>
      </c>
      <c r="B23" t="s">
        <v>29</v>
      </c>
      <c r="C23">
        <v>28</v>
      </c>
      <c r="D23" t="s">
        <v>20</v>
      </c>
      <c r="E23" t="s">
        <v>27</v>
      </c>
      <c r="F23">
        <v>16</v>
      </c>
      <c r="H23" s="6">
        <f>_xlfn.XLOOKUP(A23,Foglio6!A:A,Foglio6!B:B,0)</f>
        <v>18</v>
      </c>
      <c r="I23">
        <f>SUM(_xlfn.XLOOKUP(A23,Foglio6!A:A,Foglio6!E:E,0),_xlfn.XLOOKUP(A23,Foglio6!A:A,Foglio6!F:F,0))</f>
        <v>0</v>
      </c>
      <c r="L23">
        <v>1</v>
      </c>
      <c r="O23">
        <v>5</v>
      </c>
      <c r="P23" s="4"/>
      <c r="R23" s="15"/>
      <c r="S23">
        <v>1</v>
      </c>
    </row>
    <row r="24" spans="1:19" x14ac:dyDescent="0.3">
      <c r="A24" s="13" t="s">
        <v>160</v>
      </c>
      <c r="B24" t="s">
        <v>11</v>
      </c>
      <c r="C24">
        <v>31</v>
      </c>
      <c r="D24" t="s">
        <v>20</v>
      </c>
      <c r="E24" t="s">
        <v>27</v>
      </c>
      <c r="F24">
        <v>15</v>
      </c>
      <c r="H24" s="6">
        <f>_xlfn.XLOOKUP(A24,Foglio6!A:A,Foglio6!B:B,0)</f>
        <v>18</v>
      </c>
      <c r="I24">
        <f>SUM(_xlfn.XLOOKUP(A24,Foglio6!A:A,Foglio6!E:E,0),_xlfn.XLOOKUP(A24,Foglio6!A:A,Foglio6!F:F,0))</f>
        <v>0</v>
      </c>
      <c r="L24">
        <v>1</v>
      </c>
      <c r="P24" s="4"/>
      <c r="R24" s="15"/>
    </row>
    <row r="25" spans="1:19" x14ac:dyDescent="0.3">
      <c r="A25" s="13" t="s">
        <v>225</v>
      </c>
      <c r="B25" t="s">
        <v>74</v>
      </c>
      <c r="C25">
        <v>25</v>
      </c>
      <c r="D25" t="s">
        <v>20</v>
      </c>
      <c r="E25" t="s">
        <v>27</v>
      </c>
      <c r="F25">
        <v>10</v>
      </c>
      <c r="H25" s="6">
        <f>_xlfn.XLOOKUP(A25,Foglio6!A:A,Foglio6!B:B,0)</f>
        <v>18</v>
      </c>
      <c r="I25">
        <f>SUM(_xlfn.XLOOKUP(A25,Foglio6!A:A,Foglio6!E:E,0),_xlfn.XLOOKUP(A25,Foglio6!A:A,Foglio6!F:F,0))</f>
        <v>0</v>
      </c>
      <c r="L25">
        <v>2</v>
      </c>
      <c r="P25" s="4"/>
      <c r="R25" s="15"/>
    </row>
    <row r="26" spans="1:19" x14ac:dyDescent="0.3">
      <c r="A26" s="13" t="s">
        <v>222</v>
      </c>
      <c r="B26" t="s">
        <v>42</v>
      </c>
      <c r="C26">
        <v>31</v>
      </c>
      <c r="D26" t="s">
        <v>20</v>
      </c>
      <c r="E26" t="s">
        <v>27</v>
      </c>
      <c r="F26">
        <v>10</v>
      </c>
      <c r="H26" s="6">
        <f>_xlfn.XLOOKUP(A26,Foglio6!A:A,Foglio6!B:B,0)</f>
        <v>18</v>
      </c>
      <c r="I26">
        <f>SUM(_xlfn.XLOOKUP(A26,Foglio6!A:A,Foglio6!E:E,0),_xlfn.XLOOKUP(A26,Foglio6!A:A,Foglio6!F:F,0))</f>
        <v>0</v>
      </c>
      <c r="L26">
        <v>1</v>
      </c>
      <c r="P26" s="4"/>
      <c r="R26" s="15"/>
    </row>
    <row r="27" spans="1:19" x14ac:dyDescent="0.3">
      <c r="A27" s="13" t="s">
        <v>223</v>
      </c>
      <c r="B27" t="s">
        <v>178</v>
      </c>
      <c r="C27">
        <v>25</v>
      </c>
      <c r="D27" t="s">
        <v>20</v>
      </c>
      <c r="E27" t="s">
        <v>96</v>
      </c>
      <c r="F27">
        <v>10</v>
      </c>
      <c r="H27" s="6">
        <f>_xlfn.XLOOKUP(A27,Foglio6!A:A,Foglio6!B:B,0)</f>
        <v>18</v>
      </c>
      <c r="I27">
        <f>SUM(_xlfn.XLOOKUP(A27,Foglio6!A:A,Foglio6!E:E,0),_xlfn.XLOOKUP(A27,Foglio6!A:A,Foglio6!F:F,0))</f>
        <v>3</v>
      </c>
      <c r="L27">
        <v>1</v>
      </c>
      <c r="P27" s="4"/>
      <c r="R27" s="15"/>
    </row>
    <row r="28" spans="1:19" x14ac:dyDescent="0.3">
      <c r="A28" s="13" t="s">
        <v>242</v>
      </c>
      <c r="B28" t="s">
        <v>64</v>
      </c>
      <c r="C28">
        <v>19</v>
      </c>
      <c r="D28" t="s">
        <v>20</v>
      </c>
      <c r="E28" t="s">
        <v>17</v>
      </c>
      <c r="F28">
        <v>9</v>
      </c>
      <c r="H28" s="6">
        <f>_xlfn.XLOOKUP(A28,Foglio6!A:A,Foglio6!B:B,0)</f>
        <v>18</v>
      </c>
      <c r="I28">
        <f>SUM(_xlfn.XLOOKUP(A28,Foglio6!A:A,Foglio6!E:E,0),_xlfn.XLOOKUP(A28,Foglio6!A:A,Foglio6!F:F,0))</f>
        <v>0</v>
      </c>
      <c r="L28">
        <v>1</v>
      </c>
      <c r="P28" s="4"/>
      <c r="R28" s="15"/>
    </row>
    <row r="29" spans="1:19" x14ac:dyDescent="0.3">
      <c r="A29" s="13" t="s">
        <v>266</v>
      </c>
      <c r="B29" t="s">
        <v>115</v>
      </c>
      <c r="C29">
        <v>24</v>
      </c>
      <c r="D29" t="s">
        <v>20</v>
      </c>
      <c r="E29" t="s">
        <v>27</v>
      </c>
      <c r="F29">
        <v>8</v>
      </c>
      <c r="H29" s="6">
        <f>_xlfn.XLOOKUP(A29,Foglio6!A:A,Foglio6!B:B,0)</f>
        <v>18</v>
      </c>
      <c r="I29">
        <f>SUM(_xlfn.XLOOKUP(A29,Foglio6!A:A,Foglio6!E:E,0),_xlfn.XLOOKUP(A29,Foglio6!A:A,Foglio6!F:F,0))</f>
        <v>0</v>
      </c>
      <c r="L29">
        <v>1</v>
      </c>
      <c r="P29" s="4"/>
      <c r="R29" s="15"/>
    </row>
    <row r="30" spans="1:19" x14ac:dyDescent="0.3">
      <c r="A30" s="13" t="s">
        <v>272</v>
      </c>
      <c r="B30" t="s">
        <v>45</v>
      </c>
      <c r="C30">
        <v>38</v>
      </c>
      <c r="D30" t="s">
        <v>20</v>
      </c>
      <c r="E30" t="s">
        <v>27</v>
      </c>
      <c r="F30">
        <v>8</v>
      </c>
      <c r="H30" s="6">
        <f>_xlfn.XLOOKUP(A30,Foglio6!A:A,Foglio6!B:B,0)</f>
        <v>18</v>
      </c>
      <c r="I30">
        <f>SUM(_xlfn.XLOOKUP(A30,Foglio6!A:A,Foglio6!E:E,0),_xlfn.XLOOKUP(A30,Foglio6!A:A,Foglio6!F:F,0))</f>
        <v>0</v>
      </c>
      <c r="L30">
        <v>1</v>
      </c>
      <c r="P30" s="4"/>
      <c r="R30" s="15"/>
    </row>
    <row r="31" spans="1:19" x14ac:dyDescent="0.3">
      <c r="A31" s="10" t="s">
        <v>56</v>
      </c>
      <c r="B31" t="s">
        <v>19</v>
      </c>
      <c r="C31">
        <v>25</v>
      </c>
      <c r="D31" t="s">
        <v>20</v>
      </c>
      <c r="E31" t="s">
        <v>23</v>
      </c>
      <c r="F31">
        <v>45</v>
      </c>
      <c r="H31" s="6">
        <f>_xlfn.XLOOKUP(A31,Foglio6!A:A,Foglio6!B:B,0)</f>
        <v>17</v>
      </c>
      <c r="I31">
        <f>SUM(_xlfn.XLOOKUP(A31,Foglio6!A:A,Foglio6!E:E,0),_xlfn.XLOOKUP(A31,Foglio6!A:A,Foglio6!F:F,0))</f>
        <v>4</v>
      </c>
      <c r="L31">
        <v>1</v>
      </c>
      <c r="P31" s="4"/>
      <c r="R31" s="15"/>
    </row>
    <row r="32" spans="1:19" x14ac:dyDescent="0.3">
      <c r="A32" s="10" t="s">
        <v>69</v>
      </c>
      <c r="B32" t="s">
        <v>29</v>
      </c>
      <c r="C32">
        <v>28</v>
      </c>
      <c r="D32" t="s">
        <v>20</v>
      </c>
      <c r="E32" t="s">
        <v>20</v>
      </c>
      <c r="F32">
        <v>34</v>
      </c>
      <c r="H32" s="6">
        <f>_xlfn.XLOOKUP(A32,Foglio6!A:A,Foglio6!B:B,0)</f>
        <v>17</v>
      </c>
      <c r="I32">
        <f>SUM(_xlfn.XLOOKUP(A32,Foglio6!A:A,Foglio6!E:E,0),_xlfn.XLOOKUP(A32,Foglio6!A:A,Foglio6!F:F,0))</f>
        <v>0</v>
      </c>
      <c r="L32">
        <v>2</v>
      </c>
      <c r="P32" s="4"/>
      <c r="R32" s="15"/>
    </row>
    <row r="33" spans="1:19" x14ac:dyDescent="0.3">
      <c r="A33" s="10" t="s">
        <v>82</v>
      </c>
      <c r="B33" t="s">
        <v>31</v>
      </c>
      <c r="C33">
        <v>19</v>
      </c>
      <c r="D33" t="s">
        <v>20</v>
      </c>
      <c r="E33" t="s">
        <v>83</v>
      </c>
      <c r="F33">
        <v>29</v>
      </c>
      <c r="H33" s="6">
        <f>_xlfn.XLOOKUP(A33,Foglio6!A:A,Foglio6!B:B,0)</f>
        <v>17</v>
      </c>
      <c r="I33">
        <f>SUM(_xlfn.XLOOKUP(A33,Foglio6!A:A,Foglio6!E:E,0),_xlfn.XLOOKUP(A33,Foglio6!A:A,Foglio6!F:F,0))</f>
        <v>2</v>
      </c>
      <c r="L33">
        <v>2</v>
      </c>
    </row>
    <row r="34" spans="1:19" x14ac:dyDescent="0.3">
      <c r="A34" s="13" t="s">
        <v>136</v>
      </c>
      <c r="B34" t="s">
        <v>19</v>
      </c>
      <c r="C34">
        <v>23</v>
      </c>
      <c r="D34" t="s">
        <v>20</v>
      </c>
      <c r="E34" t="s">
        <v>27</v>
      </c>
      <c r="F34">
        <v>19</v>
      </c>
      <c r="H34" s="6">
        <f>_xlfn.XLOOKUP(A34,Foglio6!A:A,Foglio6!B:B,0)</f>
        <v>17</v>
      </c>
      <c r="I34">
        <f>SUM(_xlfn.XLOOKUP(A34,Foglio6!A:A,Foglio6!E:E,0),_xlfn.XLOOKUP(A34,Foglio6!A:A,Foglio6!F:F,0))</f>
        <v>0</v>
      </c>
      <c r="L34">
        <v>1</v>
      </c>
      <c r="O34">
        <v>1</v>
      </c>
      <c r="P34" s="17"/>
      <c r="R34" s="16"/>
      <c r="S34">
        <v>1</v>
      </c>
    </row>
    <row r="35" spans="1:19" x14ac:dyDescent="0.3">
      <c r="A35" s="13" t="s">
        <v>185</v>
      </c>
      <c r="B35" t="s">
        <v>142</v>
      </c>
      <c r="C35">
        <v>27</v>
      </c>
      <c r="D35" t="s">
        <v>20</v>
      </c>
      <c r="E35" t="s">
        <v>48</v>
      </c>
      <c r="F35">
        <v>13</v>
      </c>
      <c r="H35" s="6">
        <f>_xlfn.XLOOKUP(A35,Foglio6!A:A,Foglio6!B:B,0)</f>
        <v>17</v>
      </c>
      <c r="I35">
        <f>SUM(_xlfn.XLOOKUP(A35,Foglio6!A:A,Foglio6!E:E,0),_xlfn.XLOOKUP(A35,Foglio6!A:A,Foglio6!F:F,0))</f>
        <v>2</v>
      </c>
      <c r="L35">
        <v>1</v>
      </c>
      <c r="P35" s="17"/>
      <c r="R35" s="16"/>
    </row>
    <row r="36" spans="1:19" x14ac:dyDescent="0.3">
      <c r="A36" s="13" t="s">
        <v>224</v>
      </c>
      <c r="B36" t="s">
        <v>104</v>
      </c>
      <c r="C36">
        <v>23</v>
      </c>
      <c r="D36" t="s">
        <v>20</v>
      </c>
      <c r="E36" t="s">
        <v>23</v>
      </c>
      <c r="F36">
        <v>10</v>
      </c>
      <c r="H36" s="6">
        <f>_xlfn.XLOOKUP(A36,Foglio6!A:A,Foglio6!B:B,0)</f>
        <v>17</v>
      </c>
      <c r="I36">
        <f>SUM(_xlfn.XLOOKUP(A36,Foglio6!A:A,Foglio6!E:E,0),_xlfn.XLOOKUP(A36,Foglio6!A:A,Foglio6!F:F,0))</f>
        <v>3</v>
      </c>
      <c r="L36">
        <v>1</v>
      </c>
      <c r="P36" s="17"/>
      <c r="R36" s="16"/>
    </row>
    <row r="37" spans="1:19" x14ac:dyDescent="0.3">
      <c r="A37" s="13" t="s">
        <v>268</v>
      </c>
      <c r="B37" t="s">
        <v>142</v>
      </c>
      <c r="C37">
        <v>22</v>
      </c>
      <c r="D37" t="s">
        <v>20</v>
      </c>
      <c r="E37" t="s">
        <v>20</v>
      </c>
      <c r="F37">
        <v>8</v>
      </c>
      <c r="G37" s="8">
        <v>0</v>
      </c>
      <c r="H37" s="6">
        <f>_xlfn.XLOOKUP(A37,Foglio6!A:A,Foglio6!B:B,0)</f>
        <v>17</v>
      </c>
      <c r="I37">
        <f>SUM(_xlfn.XLOOKUP(A37,Foglio6!A:A,Foglio6!E:E,0),_xlfn.XLOOKUP(A37,Foglio6!A:A,Foglio6!F:F,0))</f>
        <v>0</v>
      </c>
      <c r="L37">
        <v>1</v>
      </c>
      <c r="P37" s="17"/>
      <c r="R37" s="16"/>
    </row>
    <row r="38" spans="1:19" x14ac:dyDescent="0.3">
      <c r="A38" s="13" t="s">
        <v>270</v>
      </c>
      <c r="B38" t="s">
        <v>55</v>
      </c>
      <c r="C38">
        <v>25</v>
      </c>
      <c r="D38" t="s">
        <v>20</v>
      </c>
      <c r="E38" t="s">
        <v>27</v>
      </c>
      <c r="F38">
        <v>8</v>
      </c>
      <c r="H38" s="6">
        <f>_xlfn.XLOOKUP(A38,Foglio6!A:A,Foglio6!B:B,0)</f>
        <v>17</v>
      </c>
      <c r="I38">
        <f>SUM(_xlfn.XLOOKUP(A38,Foglio6!A:A,Foglio6!E:E,0),_xlfn.XLOOKUP(A38,Foglio6!A:A,Foglio6!F:F,0))</f>
        <v>3</v>
      </c>
      <c r="L38">
        <v>1</v>
      </c>
      <c r="P38" s="17"/>
      <c r="R38" s="16"/>
    </row>
    <row r="39" spans="1:19" x14ac:dyDescent="0.3">
      <c r="A39" s="13" t="s">
        <v>306</v>
      </c>
      <c r="B39" t="s">
        <v>104</v>
      </c>
      <c r="C39">
        <v>26</v>
      </c>
      <c r="D39" t="s">
        <v>20</v>
      </c>
      <c r="E39" t="s">
        <v>27</v>
      </c>
      <c r="F39">
        <v>7</v>
      </c>
      <c r="G39" s="8">
        <v>0</v>
      </c>
      <c r="H39" s="6">
        <f>_xlfn.XLOOKUP(A39,Foglio6!A:A,Foglio6!B:B,0)</f>
        <v>17</v>
      </c>
      <c r="I39">
        <f>SUM(_xlfn.XLOOKUP(A39,Foglio6!A:A,Foglio6!E:E,0),_xlfn.XLOOKUP(A39,Foglio6!A:A,Foglio6!F:F,0))</f>
        <v>0</v>
      </c>
      <c r="J39">
        <v>0</v>
      </c>
      <c r="K39">
        <v>0</v>
      </c>
      <c r="P39" s="17"/>
      <c r="R39" s="16"/>
    </row>
    <row r="40" spans="1:19" x14ac:dyDescent="0.3">
      <c r="A40" s="13" t="s">
        <v>307</v>
      </c>
      <c r="B40" t="s">
        <v>104</v>
      </c>
      <c r="C40">
        <v>30</v>
      </c>
      <c r="D40" t="s">
        <v>20</v>
      </c>
      <c r="E40" t="s">
        <v>27</v>
      </c>
      <c r="F40">
        <v>7</v>
      </c>
      <c r="H40" s="6">
        <f>_xlfn.XLOOKUP(A40,Foglio6!A:A,Foglio6!B:B,0)</f>
        <v>17</v>
      </c>
      <c r="I40">
        <f>SUM(_xlfn.XLOOKUP(A40,Foglio6!A:A,Foglio6!E:E,0),_xlfn.XLOOKUP(A40,Foglio6!A:A,Foglio6!F:F,0))</f>
        <v>1</v>
      </c>
      <c r="P40" s="17"/>
      <c r="R40" s="16"/>
    </row>
    <row r="41" spans="1:19" x14ac:dyDescent="0.3">
      <c r="A41" s="10" t="s">
        <v>49</v>
      </c>
      <c r="B41" t="s">
        <v>19</v>
      </c>
      <c r="C41">
        <v>23</v>
      </c>
      <c r="D41" t="s">
        <v>20</v>
      </c>
      <c r="E41" t="s">
        <v>48</v>
      </c>
      <c r="F41">
        <v>51</v>
      </c>
      <c r="G41" s="8">
        <v>0</v>
      </c>
      <c r="H41" s="6">
        <f>_xlfn.XLOOKUP(A41,Foglio6!A:A,Foglio6!B:B,0)</f>
        <v>16</v>
      </c>
      <c r="I41">
        <f>SUM(_xlfn.XLOOKUP(A41,Foglio6!A:A,Foglio6!E:E,0),_xlfn.XLOOKUP(A41,Foglio6!A:A,Foglio6!F:F,0))</f>
        <v>2</v>
      </c>
      <c r="L41">
        <v>2</v>
      </c>
      <c r="P41" s="17"/>
      <c r="R41" s="16"/>
    </row>
    <row r="42" spans="1:19" x14ac:dyDescent="0.3">
      <c r="A42" s="10" t="s">
        <v>86</v>
      </c>
      <c r="B42" t="s">
        <v>55</v>
      </c>
      <c r="C42">
        <v>27</v>
      </c>
      <c r="D42" t="s">
        <v>20</v>
      </c>
      <c r="E42" t="s">
        <v>23</v>
      </c>
      <c r="F42">
        <v>28</v>
      </c>
      <c r="H42" s="6">
        <f>_xlfn.XLOOKUP(A42,Foglio6!A:A,Foglio6!B:B,0)</f>
        <v>16</v>
      </c>
      <c r="I42">
        <f>SUM(_xlfn.XLOOKUP(A42,Foglio6!A:A,Foglio6!E:E,0),_xlfn.XLOOKUP(A42,Foglio6!A:A,Foglio6!F:F,0))</f>
        <v>0</v>
      </c>
      <c r="L42">
        <v>2</v>
      </c>
      <c r="P42" s="17"/>
      <c r="R42" s="16"/>
    </row>
    <row r="43" spans="1:19" x14ac:dyDescent="0.3">
      <c r="A43" s="10" t="s">
        <v>116</v>
      </c>
      <c r="B43" t="s">
        <v>25</v>
      </c>
      <c r="C43">
        <v>27</v>
      </c>
      <c r="D43" t="s">
        <v>20</v>
      </c>
      <c r="E43" t="s">
        <v>17</v>
      </c>
      <c r="F43">
        <v>22</v>
      </c>
      <c r="H43" s="6">
        <f>_xlfn.XLOOKUP(A43,Foglio6!A:A,Foglio6!B:B,0)</f>
        <v>16</v>
      </c>
      <c r="I43">
        <f>SUM(_xlfn.XLOOKUP(A43,Foglio6!A:A,Foglio6!E:E,0),_xlfn.XLOOKUP(A43,Foglio6!A:A,Foglio6!F:F,0))</f>
        <v>1</v>
      </c>
      <c r="L43">
        <v>1</v>
      </c>
      <c r="P43" s="17"/>
      <c r="R43" s="16"/>
    </row>
    <row r="44" spans="1:19" x14ac:dyDescent="0.3">
      <c r="A44" s="13" t="s">
        <v>137</v>
      </c>
      <c r="B44" t="s">
        <v>64</v>
      </c>
      <c r="C44">
        <v>23</v>
      </c>
      <c r="D44" t="s">
        <v>20</v>
      </c>
      <c r="E44" t="s">
        <v>23</v>
      </c>
      <c r="F44">
        <v>19</v>
      </c>
      <c r="H44" s="6">
        <f>_xlfn.XLOOKUP(A44,Foglio6!A:A,Foglio6!B:B,0)</f>
        <v>16</v>
      </c>
      <c r="I44">
        <f>SUM(_xlfn.XLOOKUP(A44,Foglio6!A:A,Foglio6!E:E,0),_xlfn.XLOOKUP(A44,Foglio6!A:A,Foglio6!F:F,0))</f>
        <v>0</v>
      </c>
      <c r="L44">
        <v>1</v>
      </c>
    </row>
    <row r="45" spans="1:19" x14ac:dyDescent="0.3">
      <c r="A45" s="13" t="s">
        <v>158</v>
      </c>
      <c r="B45" t="s">
        <v>157</v>
      </c>
      <c r="C45">
        <v>26</v>
      </c>
      <c r="D45" t="s">
        <v>20</v>
      </c>
      <c r="E45" t="s">
        <v>83</v>
      </c>
      <c r="F45">
        <v>15</v>
      </c>
      <c r="H45" s="6">
        <f>_xlfn.XLOOKUP(A45,Foglio6!A:A,Foglio6!B:B,0)</f>
        <v>16</v>
      </c>
      <c r="I45">
        <f>SUM(_xlfn.XLOOKUP(A45,Foglio6!A:A,Foglio6!E:E,0),_xlfn.XLOOKUP(A45,Foglio6!A:A,Foglio6!F:F,0))</f>
        <v>4</v>
      </c>
      <c r="L45">
        <v>1</v>
      </c>
    </row>
    <row r="46" spans="1:19" x14ac:dyDescent="0.3">
      <c r="A46" s="13" t="s">
        <v>184</v>
      </c>
      <c r="B46" t="s">
        <v>31</v>
      </c>
      <c r="C46">
        <v>22</v>
      </c>
      <c r="D46" t="s">
        <v>20</v>
      </c>
      <c r="E46" t="s">
        <v>20</v>
      </c>
      <c r="F46">
        <v>13</v>
      </c>
      <c r="H46" s="6">
        <f>_xlfn.XLOOKUP(A46,Foglio6!A:A,Foglio6!B:B,0)</f>
        <v>16</v>
      </c>
      <c r="I46">
        <f>SUM(_xlfn.XLOOKUP(A46,Foglio6!A:A,Foglio6!E:E,0),_xlfn.XLOOKUP(A46,Foglio6!A:A,Foglio6!F:F,0))</f>
        <v>0</v>
      </c>
      <c r="L46">
        <v>1</v>
      </c>
    </row>
    <row r="47" spans="1:19" x14ac:dyDescent="0.3">
      <c r="A47" s="13" t="s">
        <v>212</v>
      </c>
      <c r="B47" t="s">
        <v>33</v>
      </c>
      <c r="C47">
        <v>32</v>
      </c>
      <c r="D47" t="s">
        <v>20</v>
      </c>
      <c r="E47" t="s">
        <v>83</v>
      </c>
      <c r="F47">
        <v>11</v>
      </c>
      <c r="H47" s="6">
        <f>_xlfn.XLOOKUP(A47,Foglio6!A:A,Foglio6!B:B,0)</f>
        <v>16</v>
      </c>
      <c r="I47">
        <f>SUM(_xlfn.XLOOKUP(A47,Foglio6!A:A,Foglio6!E:E,0),_xlfn.XLOOKUP(A47,Foglio6!A:A,Foglio6!F:F,0))</f>
        <v>4</v>
      </c>
      <c r="L47">
        <v>1</v>
      </c>
    </row>
    <row r="48" spans="1:19" x14ac:dyDescent="0.3">
      <c r="A48" s="13" t="s">
        <v>246</v>
      </c>
      <c r="B48" t="s">
        <v>33</v>
      </c>
      <c r="C48">
        <v>27</v>
      </c>
      <c r="D48" t="s">
        <v>20</v>
      </c>
      <c r="E48" t="s">
        <v>27</v>
      </c>
      <c r="F48">
        <v>9</v>
      </c>
      <c r="H48" s="6">
        <f>_xlfn.XLOOKUP(A48,Foglio6!A:A,Foglio6!B:B,0)</f>
        <v>16</v>
      </c>
      <c r="I48">
        <f>SUM(_xlfn.XLOOKUP(A48,Foglio6!A:A,Foglio6!E:E,0),_xlfn.XLOOKUP(A48,Foglio6!A:A,Foglio6!F:F,0))</f>
        <v>0</v>
      </c>
      <c r="L48">
        <v>1</v>
      </c>
    </row>
    <row r="49" spans="1:12" x14ac:dyDescent="0.3">
      <c r="A49" s="13" t="s">
        <v>327</v>
      </c>
      <c r="B49" t="s">
        <v>178</v>
      </c>
      <c r="C49">
        <v>22</v>
      </c>
      <c r="D49" t="s">
        <v>20</v>
      </c>
      <c r="E49" t="s">
        <v>27</v>
      </c>
      <c r="F49">
        <v>6</v>
      </c>
      <c r="H49" s="6">
        <f>_xlfn.XLOOKUP(A49,Foglio6!A:A,Foglio6!B:B,0)</f>
        <v>16</v>
      </c>
      <c r="I49">
        <f>SUM(_xlfn.XLOOKUP(A49,Foglio6!A:A,Foglio6!E:E,0),_xlfn.XLOOKUP(A49,Foglio6!A:A,Foglio6!F:F,0))</f>
        <v>0</v>
      </c>
      <c r="L49">
        <v>1</v>
      </c>
    </row>
    <row r="50" spans="1:12" x14ac:dyDescent="0.3">
      <c r="A50" s="13" t="s">
        <v>328</v>
      </c>
      <c r="B50" t="s">
        <v>104</v>
      </c>
      <c r="C50">
        <v>20</v>
      </c>
      <c r="D50" t="s">
        <v>20</v>
      </c>
      <c r="E50" t="s">
        <v>27</v>
      </c>
      <c r="F50">
        <v>6</v>
      </c>
      <c r="H50" s="6">
        <f>_xlfn.XLOOKUP(A50,Foglio6!A:A,Foglio6!B:B,0)</f>
        <v>16</v>
      </c>
      <c r="I50">
        <f>SUM(_xlfn.XLOOKUP(A50,Foglio6!A:A,Foglio6!E:E,0),_xlfn.XLOOKUP(A50,Foglio6!A:A,Foglio6!F:F,0))</f>
        <v>0</v>
      </c>
      <c r="L50">
        <v>1</v>
      </c>
    </row>
    <row r="51" spans="1:12" x14ac:dyDescent="0.3">
      <c r="A51" s="10" t="s">
        <v>133</v>
      </c>
      <c r="B51" t="s">
        <v>33</v>
      </c>
      <c r="C51">
        <v>23</v>
      </c>
      <c r="D51" t="s">
        <v>20</v>
      </c>
      <c r="E51" t="s">
        <v>83</v>
      </c>
      <c r="F51">
        <v>19</v>
      </c>
      <c r="H51" s="6">
        <f>_xlfn.XLOOKUP(A51,Foglio6!A:A,Foglio6!B:B,0)</f>
        <v>15</v>
      </c>
      <c r="I51">
        <f>SUM(_xlfn.XLOOKUP(A51,Foglio6!A:A,Foglio6!E:E,0),_xlfn.XLOOKUP(A51,Foglio6!A:A,Foglio6!F:F,0))</f>
        <v>0</v>
      </c>
      <c r="L51">
        <v>2</v>
      </c>
    </row>
    <row r="52" spans="1:12" x14ac:dyDescent="0.3">
      <c r="A52" s="13" t="s">
        <v>198</v>
      </c>
      <c r="B52" t="s">
        <v>39</v>
      </c>
      <c r="C52">
        <v>26</v>
      </c>
      <c r="D52" t="s">
        <v>20</v>
      </c>
      <c r="E52" t="s">
        <v>27</v>
      </c>
      <c r="F52">
        <v>12</v>
      </c>
      <c r="H52" s="6">
        <f>_xlfn.XLOOKUP(A52,Foglio6!A:A,Foglio6!B:B,0)</f>
        <v>14.5</v>
      </c>
      <c r="I52">
        <f>SUM(_xlfn.XLOOKUP(A52,Foglio6!A:A,Foglio6!E:E,0),_xlfn.XLOOKUP(A52,Foglio6!A:A,Foglio6!F:F,0))</f>
        <v>1</v>
      </c>
      <c r="L52">
        <v>2</v>
      </c>
    </row>
    <row r="53" spans="1:12" x14ac:dyDescent="0.3">
      <c r="A53" s="10" t="s">
        <v>51</v>
      </c>
      <c r="B53" t="s">
        <v>14</v>
      </c>
      <c r="C53">
        <v>35</v>
      </c>
      <c r="D53" t="s">
        <v>20</v>
      </c>
      <c r="E53" t="s">
        <v>48</v>
      </c>
      <c r="F53">
        <v>49</v>
      </c>
      <c r="H53" s="6">
        <f>_xlfn.XLOOKUP(A53,Foglio6!A:A,Foglio6!B:B,0)</f>
        <v>14</v>
      </c>
      <c r="I53">
        <f>SUM(_xlfn.XLOOKUP(A53,Foglio6!A:A,Foglio6!E:E,0),_xlfn.XLOOKUP(A53,Foglio6!A:A,Foglio6!F:F,0))</f>
        <v>6</v>
      </c>
      <c r="L53">
        <v>1</v>
      </c>
    </row>
    <row r="54" spans="1:12" x14ac:dyDescent="0.3">
      <c r="A54" s="13" t="s">
        <v>120</v>
      </c>
      <c r="B54" t="s">
        <v>45</v>
      </c>
      <c r="C54">
        <v>27</v>
      </c>
      <c r="D54" t="s">
        <v>20</v>
      </c>
      <c r="E54" t="s">
        <v>23</v>
      </c>
      <c r="F54">
        <v>21</v>
      </c>
      <c r="H54" s="6">
        <f>_xlfn.XLOOKUP(A54,Foglio6!A:A,Foglio6!B:B,0)</f>
        <v>14</v>
      </c>
      <c r="I54">
        <f>SUM(_xlfn.XLOOKUP(A54,Foglio6!A:A,Foglio6!E:E,0),_xlfn.XLOOKUP(A54,Foglio6!A:A,Foglio6!F:F,0))</f>
        <v>0</v>
      </c>
      <c r="L54">
        <v>1</v>
      </c>
    </row>
    <row r="55" spans="1:12" x14ac:dyDescent="0.3">
      <c r="A55" s="13" t="s">
        <v>183</v>
      </c>
      <c r="B55" t="s">
        <v>55</v>
      </c>
      <c r="C55">
        <v>25</v>
      </c>
      <c r="D55" t="s">
        <v>20</v>
      </c>
      <c r="E55" t="s">
        <v>34</v>
      </c>
      <c r="F55">
        <v>13</v>
      </c>
      <c r="H55" s="6">
        <f>_xlfn.XLOOKUP(A55,Foglio6!A:A,Foglio6!B:B,0)</f>
        <v>14</v>
      </c>
      <c r="I55">
        <f>SUM(_xlfn.XLOOKUP(A55,Foglio6!A:A,Foglio6!E:E,0),_xlfn.XLOOKUP(A55,Foglio6!A:A,Foglio6!F:F,0))</f>
        <v>0</v>
      </c>
      <c r="L55">
        <v>1</v>
      </c>
    </row>
    <row r="56" spans="1:12" x14ac:dyDescent="0.3">
      <c r="A56" t="s">
        <v>220</v>
      </c>
      <c r="B56" t="s">
        <v>31</v>
      </c>
      <c r="C56">
        <v>20</v>
      </c>
      <c r="D56" t="s">
        <v>20</v>
      </c>
      <c r="E56" t="s">
        <v>27</v>
      </c>
      <c r="F56">
        <v>10</v>
      </c>
      <c r="H56" s="6">
        <f>_xlfn.XLOOKUP(A56,Foglio6!A:A,Foglio6!B:B,0)</f>
        <v>14</v>
      </c>
      <c r="I56">
        <f>SUM(_xlfn.XLOOKUP(A56,Foglio6!A:A,Foglio6!E:E,0),_xlfn.XLOOKUP(A56,Foglio6!A:A,Foglio6!F:F,0))</f>
        <v>0</v>
      </c>
      <c r="L56">
        <v>1</v>
      </c>
    </row>
    <row r="57" spans="1:12" x14ac:dyDescent="0.3">
      <c r="A57" s="13" t="s">
        <v>248</v>
      </c>
      <c r="B57" t="s">
        <v>115</v>
      </c>
      <c r="C57">
        <v>26</v>
      </c>
      <c r="D57" t="s">
        <v>20</v>
      </c>
      <c r="E57" t="s">
        <v>27</v>
      </c>
      <c r="F57">
        <v>9</v>
      </c>
      <c r="H57" s="6">
        <f>_xlfn.XLOOKUP(A57,Foglio6!A:A,Foglio6!B:B,0)</f>
        <v>14</v>
      </c>
      <c r="I57">
        <f>SUM(_xlfn.XLOOKUP(A57,Foglio6!A:A,Foglio6!E:E,0),_xlfn.XLOOKUP(A57,Foglio6!A:A,Foglio6!F:F,0))</f>
        <v>2</v>
      </c>
    </row>
    <row r="58" spans="1:12" x14ac:dyDescent="0.3">
      <c r="A58" t="s">
        <v>299</v>
      </c>
      <c r="B58" t="s">
        <v>74</v>
      </c>
      <c r="C58">
        <v>29</v>
      </c>
      <c r="D58" t="s">
        <v>20</v>
      </c>
      <c r="E58" t="s">
        <v>27</v>
      </c>
      <c r="F58">
        <v>7</v>
      </c>
      <c r="H58" s="6">
        <f>_xlfn.XLOOKUP(A58,Foglio6!A:A,Foglio6!B:B,0)</f>
        <v>13.5</v>
      </c>
      <c r="I58">
        <f>SUM(_xlfn.XLOOKUP(A58,Foglio6!A:A,Foglio6!E:E,0),_xlfn.XLOOKUP(A58,Foglio6!A:A,Foglio6!F:F,0))</f>
        <v>0</v>
      </c>
      <c r="L58">
        <v>1</v>
      </c>
    </row>
    <row r="59" spans="1:12" x14ac:dyDescent="0.3">
      <c r="A59" s="10" t="s">
        <v>47</v>
      </c>
      <c r="B59" t="s">
        <v>11</v>
      </c>
      <c r="C59">
        <v>19</v>
      </c>
      <c r="D59" t="s">
        <v>20</v>
      </c>
      <c r="E59" t="s">
        <v>48</v>
      </c>
      <c r="F59">
        <v>51</v>
      </c>
      <c r="G59" s="8">
        <v>0</v>
      </c>
      <c r="H59" s="6">
        <f>_xlfn.XLOOKUP(A59,Foglio6!A:A,Foglio6!B:B,0)</f>
        <v>13</v>
      </c>
      <c r="I59">
        <f>SUM(_xlfn.XLOOKUP(A59,Foglio6!A:A,Foglio6!E:E,0),_xlfn.XLOOKUP(A59,Foglio6!A:A,Foglio6!F:F,0))</f>
        <v>0</v>
      </c>
      <c r="L59">
        <v>1</v>
      </c>
    </row>
    <row r="60" spans="1:12" x14ac:dyDescent="0.3">
      <c r="A60" s="10" t="s">
        <v>80</v>
      </c>
      <c r="B60" t="s">
        <v>29</v>
      </c>
      <c r="C60">
        <v>24</v>
      </c>
      <c r="D60" t="s">
        <v>20</v>
      </c>
      <c r="E60" t="s">
        <v>34</v>
      </c>
      <c r="F60">
        <v>30</v>
      </c>
      <c r="H60" s="6">
        <f>_xlfn.XLOOKUP(A60,Foglio6!A:A,Foglio6!B:B,0)</f>
        <v>13</v>
      </c>
      <c r="I60">
        <f>SUM(_xlfn.XLOOKUP(A60,Foglio6!A:A,Foglio6!E:E,0),_xlfn.XLOOKUP(A60,Foglio6!A:A,Foglio6!F:F,0))</f>
        <v>0</v>
      </c>
      <c r="L60">
        <v>1</v>
      </c>
    </row>
    <row r="61" spans="1:12" x14ac:dyDescent="0.3">
      <c r="A61" s="13" t="s">
        <v>123</v>
      </c>
      <c r="B61" t="s">
        <v>39</v>
      </c>
      <c r="C61">
        <v>24</v>
      </c>
      <c r="D61" t="s">
        <v>20</v>
      </c>
      <c r="E61" t="s">
        <v>23</v>
      </c>
      <c r="F61">
        <v>21</v>
      </c>
      <c r="H61" s="6">
        <f>_xlfn.XLOOKUP(A61,Foglio6!A:A,Foglio6!B:B,0)</f>
        <v>13</v>
      </c>
      <c r="I61">
        <f>SUM(_xlfn.XLOOKUP(A61,Foglio6!A:A,Foglio6!E:E,0),_xlfn.XLOOKUP(A61,Foglio6!A:A,Foglio6!F:F,0))</f>
        <v>3</v>
      </c>
      <c r="L61">
        <v>1</v>
      </c>
    </row>
    <row r="62" spans="1:12" x14ac:dyDescent="0.3">
      <c r="A62" t="s">
        <v>159</v>
      </c>
      <c r="B62" t="s">
        <v>74</v>
      </c>
      <c r="C62">
        <v>23</v>
      </c>
      <c r="D62" t="s">
        <v>20</v>
      </c>
      <c r="E62" t="s">
        <v>48</v>
      </c>
      <c r="F62">
        <v>15</v>
      </c>
      <c r="H62" s="6">
        <f>_xlfn.XLOOKUP(A62,Foglio6!A:A,Foglio6!B:B,0)</f>
        <v>13</v>
      </c>
      <c r="I62">
        <f>SUM(_xlfn.XLOOKUP(A62,Foglio6!A:A,Foglio6!E:E,0),_xlfn.XLOOKUP(A62,Foglio6!A:A,Foglio6!F:F,0))</f>
        <v>3</v>
      </c>
    </row>
    <row r="63" spans="1:12" x14ac:dyDescent="0.3">
      <c r="A63" s="13" t="s">
        <v>197</v>
      </c>
      <c r="B63" t="s">
        <v>31</v>
      </c>
      <c r="C63">
        <v>25</v>
      </c>
      <c r="D63" t="s">
        <v>20</v>
      </c>
      <c r="E63" t="s">
        <v>27</v>
      </c>
      <c r="F63">
        <v>12</v>
      </c>
      <c r="H63" s="6">
        <f>_xlfn.XLOOKUP(A63,Foglio6!A:A,Foglio6!B:B,0)</f>
        <v>13</v>
      </c>
      <c r="I63">
        <f>SUM(_xlfn.XLOOKUP(A63,Foglio6!A:A,Foglio6!E:E,0),_xlfn.XLOOKUP(A63,Foglio6!A:A,Foglio6!F:F,0))</f>
        <v>0</v>
      </c>
      <c r="L63">
        <v>1</v>
      </c>
    </row>
    <row r="64" spans="1:12" x14ac:dyDescent="0.3">
      <c r="A64" t="s">
        <v>302</v>
      </c>
      <c r="B64" t="s">
        <v>178</v>
      </c>
      <c r="C64">
        <v>30</v>
      </c>
      <c r="D64" t="s">
        <v>20</v>
      </c>
      <c r="E64" t="s">
        <v>27</v>
      </c>
      <c r="F64">
        <v>7</v>
      </c>
      <c r="H64" s="6">
        <f>_xlfn.XLOOKUP(A64,Foglio6!A:A,Foglio6!B:B,0)</f>
        <v>13</v>
      </c>
      <c r="I64">
        <f>SUM(_xlfn.XLOOKUP(A64,Foglio6!A:A,Foglio6!E:E,0),_xlfn.XLOOKUP(A64,Foglio6!A:A,Foglio6!F:F,0))</f>
        <v>0</v>
      </c>
      <c r="L64">
        <v>1</v>
      </c>
    </row>
    <row r="65" spans="1:12" x14ac:dyDescent="0.3">
      <c r="A65" s="13" t="s">
        <v>289</v>
      </c>
      <c r="B65" t="s">
        <v>64</v>
      </c>
      <c r="C65">
        <v>23</v>
      </c>
      <c r="D65" t="s">
        <v>20</v>
      </c>
      <c r="E65" t="s">
        <v>27</v>
      </c>
      <c r="F65">
        <v>7</v>
      </c>
      <c r="H65" s="6">
        <f>_xlfn.XLOOKUP(A65,Foglio6!A:A,Foglio6!B:B,0)</f>
        <v>13</v>
      </c>
      <c r="I65">
        <f>SUM(_xlfn.XLOOKUP(A65,Foglio6!A:A,Foglio6!E:E,0),_xlfn.XLOOKUP(A65,Foglio6!A:A,Foglio6!F:F,0))</f>
        <v>0</v>
      </c>
      <c r="L65">
        <v>1</v>
      </c>
    </row>
    <row r="66" spans="1:12" x14ac:dyDescent="0.3">
      <c r="A66" s="13" t="s">
        <v>288</v>
      </c>
      <c r="B66" t="s">
        <v>157</v>
      </c>
      <c r="C66">
        <v>31</v>
      </c>
      <c r="D66" t="s">
        <v>20</v>
      </c>
      <c r="E66" t="s">
        <v>27</v>
      </c>
      <c r="F66">
        <v>7</v>
      </c>
      <c r="H66" s="6">
        <f>_xlfn.XLOOKUP(A66,Foglio6!A:A,Foglio6!B:B,0)</f>
        <v>12.5</v>
      </c>
      <c r="I66">
        <f>SUM(_xlfn.XLOOKUP(A66,Foglio6!A:A,Foglio6!E:E,0),_xlfn.XLOOKUP(A66,Foglio6!A:A,Foglio6!F:F,0))</f>
        <v>1</v>
      </c>
    </row>
    <row r="67" spans="1:12" x14ac:dyDescent="0.3">
      <c r="A67" s="10" t="s">
        <v>85</v>
      </c>
      <c r="B67" t="s">
        <v>29</v>
      </c>
      <c r="C67">
        <v>19</v>
      </c>
      <c r="D67" t="s">
        <v>20</v>
      </c>
      <c r="E67" t="s">
        <v>83</v>
      </c>
      <c r="F67">
        <v>28</v>
      </c>
      <c r="G67" s="8">
        <v>0</v>
      </c>
      <c r="H67" s="6">
        <f>_xlfn.XLOOKUP(A67,Foglio6!A:A,Foglio6!B:B,0)</f>
        <v>12</v>
      </c>
      <c r="I67">
        <f>SUM(_xlfn.XLOOKUP(A67,Foglio6!A:A,Foglio6!E:E,0),_xlfn.XLOOKUP(A67,Foglio6!A:A,Foglio6!F:F,0))</f>
        <v>0</v>
      </c>
      <c r="L67">
        <v>2</v>
      </c>
    </row>
    <row r="68" spans="1:12" x14ac:dyDescent="0.3">
      <c r="A68" s="13" t="s">
        <v>122</v>
      </c>
      <c r="B68" t="s">
        <v>29</v>
      </c>
      <c r="C68">
        <v>25</v>
      </c>
      <c r="D68" t="s">
        <v>20</v>
      </c>
      <c r="E68" t="s">
        <v>20</v>
      </c>
      <c r="F68">
        <v>21</v>
      </c>
      <c r="H68" s="6">
        <f>_xlfn.XLOOKUP(A68,Foglio6!A:A,Foglio6!B:B,0)</f>
        <v>12</v>
      </c>
      <c r="I68">
        <f>SUM(_xlfn.XLOOKUP(A68,Foglio6!A:A,Foglio6!E:E,0),_xlfn.XLOOKUP(A68,Foglio6!A:A,Foglio6!F:F,0))</f>
        <v>0</v>
      </c>
      <c r="L68">
        <v>1</v>
      </c>
    </row>
    <row r="69" spans="1:12" x14ac:dyDescent="0.3">
      <c r="A69" s="13" t="s">
        <v>165</v>
      </c>
      <c r="B69" t="s">
        <v>64</v>
      </c>
      <c r="C69">
        <v>24</v>
      </c>
      <c r="D69" t="s">
        <v>20</v>
      </c>
      <c r="E69" t="s">
        <v>83</v>
      </c>
      <c r="F69">
        <v>14</v>
      </c>
      <c r="H69" s="6">
        <f>_xlfn.XLOOKUP(A69,Foglio6!A:A,Foglio6!B:B,0)</f>
        <v>12</v>
      </c>
      <c r="I69">
        <f>SUM(_xlfn.XLOOKUP(A69,Foglio6!A:A,Foglio6!E:E,0),_xlfn.XLOOKUP(A69,Foglio6!A:A,Foglio6!F:F,0))</f>
        <v>2</v>
      </c>
      <c r="L69">
        <v>1</v>
      </c>
    </row>
    <row r="70" spans="1:12" x14ac:dyDescent="0.3">
      <c r="A70" t="s">
        <v>194</v>
      </c>
      <c r="B70" t="s">
        <v>42</v>
      </c>
      <c r="C70">
        <v>23</v>
      </c>
      <c r="D70" t="s">
        <v>20</v>
      </c>
      <c r="E70" t="s">
        <v>48</v>
      </c>
      <c r="F70">
        <v>12</v>
      </c>
      <c r="H70" s="6">
        <f>_xlfn.XLOOKUP(A70,Foglio6!A:A,Foglio6!B:B,0)</f>
        <v>12</v>
      </c>
      <c r="I70">
        <f>SUM(_xlfn.XLOOKUP(A70,Foglio6!A:A,Foglio6!E:E,0),_xlfn.XLOOKUP(A70,Foglio6!A:A,Foglio6!F:F,0))</f>
        <v>1</v>
      </c>
      <c r="L70">
        <v>1</v>
      </c>
    </row>
    <row r="71" spans="1:12" x14ac:dyDescent="0.3">
      <c r="A71" t="s">
        <v>271</v>
      </c>
      <c r="B71" t="s">
        <v>142</v>
      </c>
      <c r="C71">
        <v>29</v>
      </c>
      <c r="D71" t="s">
        <v>20</v>
      </c>
      <c r="E71" t="s">
        <v>27</v>
      </c>
      <c r="F71">
        <v>8</v>
      </c>
      <c r="H71" s="6">
        <f>_xlfn.XLOOKUP(A71,Foglio6!A:A,Foglio6!B:B,0)</f>
        <v>12</v>
      </c>
      <c r="I71">
        <f>SUM(_xlfn.XLOOKUP(A71,Foglio6!A:A,Foglio6!E:E,0),_xlfn.XLOOKUP(A71,Foglio6!A:A,Foglio6!F:F,0))</f>
        <v>6</v>
      </c>
    </row>
    <row r="72" spans="1:12" x14ac:dyDescent="0.3">
      <c r="A72" s="13" t="s">
        <v>292</v>
      </c>
      <c r="B72" t="s">
        <v>178</v>
      </c>
      <c r="C72">
        <v>26</v>
      </c>
      <c r="D72" t="s">
        <v>20</v>
      </c>
      <c r="E72" t="s">
        <v>23</v>
      </c>
      <c r="F72">
        <v>7</v>
      </c>
      <c r="H72" s="6">
        <f>_xlfn.XLOOKUP(A72,Foglio6!A:A,Foglio6!B:B,0)</f>
        <v>12</v>
      </c>
      <c r="I72">
        <f>SUM(_xlfn.XLOOKUP(A72,Foglio6!A:A,Foglio6!E:E,0),_xlfn.XLOOKUP(A72,Foglio6!A:A,Foglio6!F:F,0))</f>
        <v>0</v>
      </c>
    </row>
    <row r="73" spans="1:12" x14ac:dyDescent="0.3">
      <c r="A73" s="13" t="s">
        <v>181</v>
      </c>
      <c r="B73" t="s">
        <v>157</v>
      </c>
      <c r="C73">
        <v>29</v>
      </c>
      <c r="D73" t="s">
        <v>20</v>
      </c>
      <c r="E73" t="s">
        <v>27</v>
      </c>
      <c r="F73">
        <v>13</v>
      </c>
      <c r="H73" s="6">
        <f>_xlfn.XLOOKUP(A73,Foglio6!A:A,Foglio6!B:B,0)</f>
        <v>11.5</v>
      </c>
      <c r="I73">
        <f>SUM(_xlfn.XLOOKUP(A73,Foglio6!A:A,Foglio6!E:E,0),_xlfn.XLOOKUP(A73,Foglio6!A:A,Foglio6!F:F,0))</f>
        <v>6</v>
      </c>
      <c r="L73">
        <v>1</v>
      </c>
    </row>
    <row r="74" spans="1:12" x14ac:dyDescent="0.3">
      <c r="A74" s="13" t="s">
        <v>267</v>
      </c>
      <c r="B74" t="s">
        <v>45</v>
      </c>
      <c r="C74">
        <v>20</v>
      </c>
      <c r="D74" t="s">
        <v>20</v>
      </c>
      <c r="E74" t="s">
        <v>23</v>
      </c>
      <c r="F74">
        <v>8</v>
      </c>
      <c r="G74" s="8">
        <v>0</v>
      </c>
      <c r="H74" s="6">
        <f>_xlfn.XLOOKUP(A74,Foglio6!A:A,Foglio6!B:B,0)</f>
        <v>11</v>
      </c>
      <c r="I74">
        <f>SUM(_xlfn.XLOOKUP(A74,Foglio6!A:A,Foglio6!E:E,0),_xlfn.XLOOKUP(A74,Foglio6!A:A,Foglio6!F:F,0))</f>
        <v>1</v>
      </c>
      <c r="J74">
        <v>0</v>
      </c>
      <c r="K74">
        <v>0</v>
      </c>
      <c r="L74">
        <v>1</v>
      </c>
    </row>
    <row r="75" spans="1:12" x14ac:dyDescent="0.3">
      <c r="A75" t="s">
        <v>303</v>
      </c>
      <c r="B75" t="s">
        <v>94</v>
      </c>
      <c r="C75">
        <v>25</v>
      </c>
      <c r="D75" t="s">
        <v>20</v>
      </c>
      <c r="E75" t="s">
        <v>20</v>
      </c>
      <c r="F75">
        <v>7</v>
      </c>
      <c r="H75" s="6">
        <f>_xlfn.XLOOKUP(A75,Foglio6!A:A,Foglio6!B:B,0)</f>
        <v>11</v>
      </c>
      <c r="I75">
        <f>SUM(_xlfn.XLOOKUP(A75,Foglio6!A:A,Foglio6!E:E,0),_xlfn.XLOOKUP(A75,Foglio6!A:A,Foglio6!F:F,0))</f>
        <v>0</v>
      </c>
    </row>
    <row r="76" spans="1:12" x14ac:dyDescent="0.3">
      <c r="A76" s="10" t="s">
        <v>105</v>
      </c>
      <c r="B76" t="s">
        <v>14</v>
      </c>
      <c r="C76">
        <v>33</v>
      </c>
      <c r="D76" t="s">
        <v>20</v>
      </c>
      <c r="E76" t="s">
        <v>96</v>
      </c>
      <c r="F76">
        <v>24</v>
      </c>
      <c r="H76" s="6">
        <f>_xlfn.XLOOKUP(A76,Foglio6!A:A,Foglio6!B:B,0)</f>
        <v>10</v>
      </c>
      <c r="I76">
        <f>SUM(_xlfn.XLOOKUP(A76,Foglio6!A:A,Foglio6!E:E,0),_xlfn.XLOOKUP(A76,Foglio6!A:A,Foglio6!F:F,0))</f>
        <v>3</v>
      </c>
      <c r="L76">
        <v>1</v>
      </c>
    </row>
    <row r="77" spans="1:12" x14ac:dyDescent="0.3">
      <c r="A77" s="13" t="s">
        <v>124</v>
      </c>
      <c r="B77" t="s">
        <v>7</v>
      </c>
      <c r="C77">
        <v>32</v>
      </c>
      <c r="D77" t="s">
        <v>20</v>
      </c>
      <c r="E77" t="s">
        <v>20</v>
      </c>
      <c r="F77">
        <v>21</v>
      </c>
      <c r="H77" s="6">
        <f>_xlfn.XLOOKUP(A77,Foglio6!A:A,Foglio6!B:B,0)</f>
        <v>10</v>
      </c>
      <c r="I77">
        <f>SUM(_xlfn.XLOOKUP(A77,Foglio6!A:A,Foglio6!E:E,0),_xlfn.XLOOKUP(A77,Foglio6!A:A,Foglio6!F:F,0))</f>
        <v>3</v>
      </c>
      <c r="L77">
        <v>1</v>
      </c>
    </row>
    <row r="78" spans="1:12" x14ac:dyDescent="0.3">
      <c r="A78" s="13" t="s">
        <v>182</v>
      </c>
      <c r="B78" t="s">
        <v>7</v>
      </c>
      <c r="C78">
        <v>23</v>
      </c>
      <c r="D78" t="s">
        <v>20</v>
      </c>
      <c r="E78" t="s">
        <v>20</v>
      </c>
      <c r="F78">
        <v>13</v>
      </c>
      <c r="H78" s="6">
        <f>_xlfn.XLOOKUP(A78,Foglio6!A:A,Foglio6!B:B,0)</f>
        <v>10</v>
      </c>
      <c r="I78">
        <f>SUM(_xlfn.XLOOKUP(A78,Foglio6!A:A,Foglio6!E:E,0),_xlfn.XLOOKUP(A78,Foglio6!A:A,Foglio6!F:F,0))</f>
        <v>0</v>
      </c>
      <c r="L78">
        <v>1</v>
      </c>
    </row>
    <row r="79" spans="1:12" x14ac:dyDescent="0.3">
      <c r="A79" t="s">
        <v>446</v>
      </c>
      <c r="B79" t="s">
        <v>45</v>
      </c>
      <c r="C79">
        <v>21</v>
      </c>
      <c r="D79" t="s">
        <v>20</v>
      </c>
      <c r="E79" t="s">
        <v>27</v>
      </c>
      <c r="F79">
        <v>3</v>
      </c>
      <c r="H79" s="6">
        <f>_xlfn.XLOOKUP(A79,Foglio6!A:A,Foglio6!B:B,0)</f>
        <v>9</v>
      </c>
      <c r="I79">
        <f>SUM(_xlfn.XLOOKUP(A79,Foglio6!A:A,Foglio6!E:E,0),_xlfn.XLOOKUP(A79,Foglio6!A:A,Foglio6!F:F,0))</f>
        <v>0</v>
      </c>
    </row>
    <row r="80" spans="1:12" x14ac:dyDescent="0.3">
      <c r="A80" s="10" t="s">
        <v>95</v>
      </c>
      <c r="B80" t="s">
        <v>25</v>
      </c>
      <c r="C80">
        <v>22</v>
      </c>
      <c r="D80" t="s">
        <v>20</v>
      </c>
      <c r="E80" t="s">
        <v>96</v>
      </c>
      <c r="F80">
        <v>26</v>
      </c>
      <c r="H80" s="6">
        <f>_xlfn.XLOOKUP(A80,Foglio6!A:A,Foglio6!B:B,0)</f>
        <v>8</v>
      </c>
      <c r="I80">
        <f>SUM(_xlfn.XLOOKUP(A80,Foglio6!A:A,Foglio6!E:E,0),_xlfn.XLOOKUP(A80,Foglio6!A:A,Foglio6!F:F,0))</f>
        <v>0</v>
      </c>
      <c r="L80">
        <v>1</v>
      </c>
    </row>
    <row r="81" spans="1:12" x14ac:dyDescent="0.3">
      <c r="A81" t="s">
        <v>167</v>
      </c>
      <c r="B81" t="s">
        <v>31</v>
      </c>
      <c r="C81">
        <v>29</v>
      </c>
      <c r="D81" t="s">
        <v>20</v>
      </c>
      <c r="E81" t="s">
        <v>20</v>
      </c>
      <c r="F81">
        <v>14</v>
      </c>
      <c r="H81" s="6">
        <f>_xlfn.XLOOKUP(A81,Foglio6!A:A,Foglio6!B:B,0)</f>
        <v>8</v>
      </c>
      <c r="I81">
        <f>SUM(_xlfn.XLOOKUP(A81,Foglio6!A:A,Foglio6!E:E,0),_xlfn.XLOOKUP(A81,Foglio6!A:A,Foglio6!F:F,0))</f>
        <v>1</v>
      </c>
      <c r="L81">
        <v>1</v>
      </c>
    </row>
    <row r="82" spans="1:12" x14ac:dyDescent="0.3">
      <c r="A82" t="s">
        <v>269</v>
      </c>
      <c r="B82" t="s">
        <v>178</v>
      </c>
      <c r="C82">
        <v>23</v>
      </c>
      <c r="D82" t="s">
        <v>20</v>
      </c>
      <c r="E82" t="s">
        <v>23</v>
      </c>
      <c r="F82">
        <v>8</v>
      </c>
      <c r="H82" s="6">
        <f>_xlfn.XLOOKUP(A82,Foglio6!A:A,Foglio6!B:B,0)</f>
        <v>8</v>
      </c>
      <c r="I82">
        <f>SUM(_xlfn.XLOOKUP(A82,Foglio6!A:A,Foglio6!E:E,0),_xlfn.XLOOKUP(A82,Foglio6!A:A,Foglio6!F:F,0))</f>
        <v>3</v>
      </c>
    </row>
    <row r="83" spans="1:12" x14ac:dyDescent="0.3">
      <c r="A83" t="s">
        <v>298</v>
      </c>
      <c r="B83" t="s">
        <v>157</v>
      </c>
      <c r="C83">
        <v>27</v>
      </c>
      <c r="D83" t="s">
        <v>20</v>
      </c>
      <c r="E83" t="s">
        <v>96</v>
      </c>
      <c r="F83">
        <v>7</v>
      </c>
      <c r="H83" s="6">
        <f>_xlfn.XLOOKUP(A83,Foglio6!A:A,Foglio6!B:B,0)</f>
        <v>8</v>
      </c>
      <c r="I83">
        <f>SUM(_xlfn.XLOOKUP(A83,Foglio6!A:A,Foglio6!E:E,0),_xlfn.XLOOKUP(A83,Foglio6!A:A,Foglio6!F:F,0))</f>
        <v>0</v>
      </c>
      <c r="L83">
        <v>1</v>
      </c>
    </row>
    <row r="84" spans="1:12" x14ac:dyDescent="0.3">
      <c r="A84" t="s">
        <v>475</v>
      </c>
      <c r="B84" t="s">
        <v>157</v>
      </c>
      <c r="C84">
        <v>25</v>
      </c>
      <c r="D84" t="s">
        <v>20</v>
      </c>
      <c r="E84" t="s">
        <v>27</v>
      </c>
      <c r="F84">
        <v>2</v>
      </c>
      <c r="H84" s="6">
        <f>_xlfn.XLOOKUP(A84,Foglio6!A:A,Foglio6!B:B,0)</f>
        <v>8</v>
      </c>
      <c r="I84">
        <f>SUM(_xlfn.XLOOKUP(A84,Foglio6!A:A,Foglio6!E:E,0),_xlfn.XLOOKUP(A84,Foglio6!A:A,Foglio6!F:F,0))</f>
        <v>0</v>
      </c>
    </row>
    <row r="85" spans="1:12" x14ac:dyDescent="0.3">
      <c r="A85" s="13" t="s">
        <v>245</v>
      </c>
      <c r="B85" t="s">
        <v>74</v>
      </c>
      <c r="C85">
        <v>24</v>
      </c>
      <c r="D85" t="s">
        <v>20</v>
      </c>
      <c r="E85" t="s">
        <v>135</v>
      </c>
      <c r="F85">
        <v>9</v>
      </c>
      <c r="H85" s="6">
        <f>_xlfn.XLOOKUP(A85,Foglio6!A:A,Foglio6!B:B,0)</f>
        <v>7.5</v>
      </c>
      <c r="I85">
        <f>SUM(_xlfn.XLOOKUP(A85,Foglio6!A:A,Foglio6!E:E,0),_xlfn.XLOOKUP(A85,Foglio6!A:A,Foglio6!F:F,0))</f>
        <v>0</v>
      </c>
      <c r="L85">
        <v>1</v>
      </c>
    </row>
    <row r="86" spans="1:12" x14ac:dyDescent="0.3">
      <c r="A86" s="10" t="s">
        <v>78</v>
      </c>
      <c r="B86" t="s">
        <v>31</v>
      </c>
      <c r="C86">
        <v>29</v>
      </c>
      <c r="D86" t="s">
        <v>20</v>
      </c>
      <c r="E86" t="s">
        <v>21</v>
      </c>
      <c r="F86">
        <v>31</v>
      </c>
      <c r="H86" s="6">
        <f>_xlfn.XLOOKUP(A86,Foglio6!A:A,Foglio6!B:B,0)</f>
        <v>7</v>
      </c>
      <c r="I86">
        <f>SUM(_xlfn.XLOOKUP(A86,Foglio6!A:A,Foglio6!E:E,0),_xlfn.XLOOKUP(A86,Foglio6!A:A,Foglio6!F:F,0))</f>
        <v>6</v>
      </c>
      <c r="L86">
        <v>1</v>
      </c>
    </row>
    <row r="87" spans="1:12" x14ac:dyDescent="0.3">
      <c r="A87" s="13" t="s">
        <v>152</v>
      </c>
      <c r="B87" t="s">
        <v>39</v>
      </c>
      <c r="C87">
        <v>31</v>
      </c>
      <c r="D87" t="s">
        <v>20</v>
      </c>
      <c r="E87" t="s">
        <v>23</v>
      </c>
      <c r="F87">
        <v>16</v>
      </c>
      <c r="H87" s="6">
        <f>_xlfn.XLOOKUP(A87,Foglio6!A:A,Foglio6!B:B,0)</f>
        <v>7</v>
      </c>
      <c r="I87">
        <f>SUM(_xlfn.XLOOKUP(A87,Foglio6!A:A,Foglio6!E:E,0),_xlfn.XLOOKUP(A87,Foglio6!A:A,Foglio6!F:F,0))</f>
        <v>0</v>
      </c>
      <c r="L87">
        <v>1</v>
      </c>
    </row>
    <row r="88" spans="1:12" x14ac:dyDescent="0.3">
      <c r="A88" t="s">
        <v>297</v>
      </c>
      <c r="B88" t="s">
        <v>64</v>
      </c>
      <c r="C88">
        <v>22</v>
      </c>
      <c r="D88" t="s">
        <v>20</v>
      </c>
      <c r="E88" t="s">
        <v>27</v>
      </c>
      <c r="F88">
        <v>7</v>
      </c>
      <c r="H88" s="6">
        <f>_xlfn.XLOOKUP(A88,Foglio6!A:A,Foglio6!B:B,0)</f>
        <v>7</v>
      </c>
      <c r="I88">
        <f>SUM(_xlfn.XLOOKUP(A88,Foglio6!A:A,Foglio6!E:E,0),_xlfn.XLOOKUP(A88,Foglio6!A:A,Foglio6!F:F,0))</f>
        <v>1</v>
      </c>
    </row>
    <row r="89" spans="1:12" x14ac:dyDescent="0.3">
      <c r="A89" t="s">
        <v>294</v>
      </c>
      <c r="B89" t="s">
        <v>94</v>
      </c>
      <c r="C89">
        <v>29</v>
      </c>
      <c r="D89" t="s">
        <v>20</v>
      </c>
      <c r="E89" t="s">
        <v>23</v>
      </c>
      <c r="F89">
        <v>7</v>
      </c>
      <c r="H89" s="6">
        <f>_xlfn.XLOOKUP(A89,Foglio6!A:A,Foglio6!B:B,0)</f>
        <v>7</v>
      </c>
      <c r="I89">
        <f>SUM(_xlfn.XLOOKUP(A89,Foglio6!A:A,Foglio6!E:E,0),_xlfn.XLOOKUP(A89,Foglio6!A:A,Foglio6!F:F,0))</f>
        <v>1</v>
      </c>
    </row>
    <row r="90" spans="1:12" x14ac:dyDescent="0.3">
      <c r="A90" s="13" t="s">
        <v>92</v>
      </c>
      <c r="B90" t="s">
        <v>14</v>
      </c>
      <c r="C90">
        <v>31</v>
      </c>
      <c r="D90" t="s">
        <v>20</v>
      </c>
      <c r="E90" t="s">
        <v>20</v>
      </c>
      <c r="F90">
        <v>27</v>
      </c>
      <c r="H90" s="6">
        <f>_xlfn.XLOOKUP(A90,Foglio6!A:A,Foglio6!B:B,0)</f>
        <v>6</v>
      </c>
      <c r="I90">
        <f>SUM(_xlfn.XLOOKUP(A90,Foglio6!A:A,Foglio6!E:E,0),_xlfn.XLOOKUP(A90,Foglio6!A:A,Foglio6!F:F,0))</f>
        <v>0</v>
      </c>
    </row>
    <row r="91" spans="1:12" x14ac:dyDescent="0.3">
      <c r="A91" t="s">
        <v>263</v>
      </c>
      <c r="B91" t="s">
        <v>42</v>
      </c>
      <c r="C91">
        <v>29</v>
      </c>
      <c r="D91" t="s">
        <v>20</v>
      </c>
      <c r="E91" t="s">
        <v>27</v>
      </c>
      <c r="F91">
        <v>8</v>
      </c>
      <c r="H91" s="6">
        <f>_xlfn.XLOOKUP(A91,Foglio6!A:A,Foglio6!B:B,0)</f>
        <v>6</v>
      </c>
      <c r="I91">
        <f>SUM(_xlfn.XLOOKUP(A91,Foglio6!A:A,Foglio6!E:E,0),_xlfn.XLOOKUP(A91,Foglio6!A:A,Foglio6!F:F,0))</f>
        <v>0</v>
      </c>
    </row>
    <row r="92" spans="1:12" x14ac:dyDescent="0.3">
      <c r="A92" t="s">
        <v>330</v>
      </c>
      <c r="B92" t="s">
        <v>42</v>
      </c>
      <c r="C92">
        <v>20</v>
      </c>
      <c r="D92" t="s">
        <v>20</v>
      </c>
      <c r="E92" t="s">
        <v>27</v>
      </c>
      <c r="F92">
        <v>6</v>
      </c>
      <c r="H92" s="6">
        <f>_xlfn.XLOOKUP(A92,Foglio6!A:A,Foglio6!B:B,0)</f>
        <v>6</v>
      </c>
      <c r="I92">
        <f>SUM(_xlfn.XLOOKUP(A92,Foglio6!A:A,Foglio6!E:E,0),_xlfn.XLOOKUP(A92,Foglio6!A:A,Foglio6!F:F,0))</f>
        <v>0</v>
      </c>
    </row>
    <row r="93" spans="1:12" x14ac:dyDescent="0.3">
      <c r="A93" t="s">
        <v>329</v>
      </c>
      <c r="B93" t="s">
        <v>115</v>
      </c>
      <c r="C93">
        <v>24</v>
      </c>
      <c r="D93" t="s">
        <v>20</v>
      </c>
      <c r="E93" t="s">
        <v>20</v>
      </c>
      <c r="F93">
        <v>6</v>
      </c>
      <c r="H93" s="6">
        <f>_xlfn.XLOOKUP(A93,Foglio6!A:A,Foglio6!B:B,0)</f>
        <v>6</v>
      </c>
      <c r="I93">
        <f>SUM(_xlfn.XLOOKUP(A93,Foglio6!A:A,Foglio6!E:E,0),_xlfn.XLOOKUP(A93,Foglio6!A:A,Foglio6!F:F,0))</f>
        <v>0</v>
      </c>
    </row>
    <row r="94" spans="1:12" x14ac:dyDescent="0.3">
      <c r="A94" t="s">
        <v>412</v>
      </c>
      <c r="B94" t="s">
        <v>142</v>
      </c>
      <c r="C94">
        <v>21</v>
      </c>
      <c r="D94" t="s">
        <v>20</v>
      </c>
      <c r="E94" t="s">
        <v>27</v>
      </c>
      <c r="F94">
        <v>4</v>
      </c>
      <c r="H94" s="6">
        <f>_xlfn.XLOOKUP(A94,Foglio6!A:A,Foglio6!B:B,0)</f>
        <v>6</v>
      </c>
      <c r="I94">
        <f>SUM(_xlfn.XLOOKUP(A94,Foglio6!A:A,Foglio6!E:E,0),_xlfn.XLOOKUP(A94,Foglio6!A:A,Foglio6!F:F,0))</f>
        <v>0</v>
      </c>
    </row>
    <row r="95" spans="1:12" x14ac:dyDescent="0.3">
      <c r="A95" s="13" t="s">
        <v>134</v>
      </c>
      <c r="B95" t="s">
        <v>7</v>
      </c>
      <c r="C95">
        <v>23</v>
      </c>
      <c r="D95" t="s">
        <v>20</v>
      </c>
      <c r="E95" t="s">
        <v>135</v>
      </c>
      <c r="F95">
        <v>19</v>
      </c>
      <c r="H95" s="6">
        <f>_xlfn.XLOOKUP(A95,Foglio6!A:A,Foglio6!B:B,0)</f>
        <v>5</v>
      </c>
      <c r="I95">
        <f>SUM(_xlfn.XLOOKUP(A95,Foglio6!A:A,Foglio6!E:E,0),_xlfn.XLOOKUP(A95,Foglio6!A:A,Foglio6!F:F,0))</f>
        <v>0</v>
      </c>
      <c r="L95">
        <v>1</v>
      </c>
    </row>
    <row r="96" spans="1:12" x14ac:dyDescent="0.3">
      <c r="A96" t="s">
        <v>151</v>
      </c>
      <c r="B96" t="s">
        <v>19</v>
      </c>
      <c r="C96">
        <v>21</v>
      </c>
      <c r="D96" t="s">
        <v>20</v>
      </c>
      <c r="E96" t="s">
        <v>34</v>
      </c>
      <c r="F96">
        <v>16</v>
      </c>
      <c r="H96" s="6">
        <f>_xlfn.XLOOKUP(A96,Foglio6!A:A,Foglio6!B:B,0)</f>
        <v>5</v>
      </c>
      <c r="I96">
        <f>SUM(_xlfn.XLOOKUP(A96,Foglio6!A:A,Foglio6!E:E,0),_xlfn.XLOOKUP(A96,Foglio6!A:A,Foglio6!F:F,0))</f>
        <v>0</v>
      </c>
      <c r="L96">
        <v>1</v>
      </c>
    </row>
    <row r="97" spans="1:9" x14ac:dyDescent="0.3">
      <c r="A97" t="s">
        <v>337</v>
      </c>
      <c r="B97" t="s">
        <v>25</v>
      </c>
      <c r="C97">
        <v>27</v>
      </c>
      <c r="D97" t="s">
        <v>20</v>
      </c>
      <c r="E97" t="s">
        <v>96</v>
      </c>
      <c r="F97">
        <v>6</v>
      </c>
      <c r="H97" s="6">
        <f>_xlfn.XLOOKUP(A97,Foglio6!A:A,Foglio6!B:B,0)</f>
        <v>5</v>
      </c>
      <c r="I97">
        <f>SUM(_xlfn.XLOOKUP(A97,Foglio6!A:A,Foglio6!E:E,0),_xlfn.XLOOKUP(A97,Foglio6!A:A,Foglio6!F:F,0))</f>
        <v>0</v>
      </c>
    </row>
    <row r="98" spans="1:9" x14ac:dyDescent="0.3">
      <c r="A98" t="s">
        <v>341</v>
      </c>
      <c r="B98" t="s">
        <v>39</v>
      </c>
      <c r="C98">
        <v>35</v>
      </c>
      <c r="D98" t="s">
        <v>20</v>
      </c>
      <c r="E98" t="s">
        <v>27</v>
      </c>
      <c r="F98">
        <v>6</v>
      </c>
      <c r="H98" s="6">
        <f>_xlfn.XLOOKUP(A98,Foglio6!A:A,Foglio6!B:B,0)</f>
        <v>5</v>
      </c>
      <c r="I98">
        <f>SUM(_xlfn.XLOOKUP(A98,Foglio6!A:A,Foglio6!E:E,0),_xlfn.XLOOKUP(A98,Foglio6!A:A,Foglio6!F:F,0))</f>
        <v>0</v>
      </c>
    </row>
    <row r="99" spans="1:9" x14ac:dyDescent="0.3">
      <c r="A99" t="s">
        <v>339</v>
      </c>
      <c r="B99" t="s">
        <v>74</v>
      </c>
      <c r="C99">
        <v>26</v>
      </c>
      <c r="D99" t="s">
        <v>20</v>
      </c>
      <c r="E99" t="s">
        <v>83</v>
      </c>
      <c r="F99">
        <v>6</v>
      </c>
      <c r="H99" s="6">
        <f>_xlfn.XLOOKUP(A99,Foglio6!A:A,Foglio6!B:B,0)</f>
        <v>5</v>
      </c>
      <c r="I99">
        <f>SUM(_xlfn.XLOOKUP(A99,Foglio6!A:A,Foglio6!E:E,0),_xlfn.XLOOKUP(A99,Foglio6!A:A,Foglio6!F:F,0))</f>
        <v>0</v>
      </c>
    </row>
    <row r="100" spans="1:9" x14ac:dyDescent="0.3">
      <c r="A100" t="s">
        <v>421</v>
      </c>
      <c r="B100" t="s">
        <v>104</v>
      </c>
      <c r="C100">
        <v>31</v>
      </c>
      <c r="D100" t="s">
        <v>20</v>
      </c>
      <c r="E100" t="s">
        <v>27</v>
      </c>
      <c r="F100">
        <v>4</v>
      </c>
      <c r="H100" s="6">
        <f>_xlfn.XLOOKUP(A100,Foglio6!A:A,Foglio6!B:B,0)</f>
        <v>5</v>
      </c>
      <c r="I100">
        <f>SUM(_xlfn.XLOOKUP(A100,Foglio6!A:A,Foglio6!E:E,0),_xlfn.XLOOKUP(A100,Foglio6!A:A,Foglio6!F:F,0))</f>
        <v>0</v>
      </c>
    </row>
    <row r="101" spans="1:9" x14ac:dyDescent="0.3">
      <c r="A101" t="s">
        <v>449</v>
      </c>
      <c r="B101" t="s">
        <v>142</v>
      </c>
      <c r="C101">
        <v>31</v>
      </c>
      <c r="D101" t="s">
        <v>20</v>
      </c>
      <c r="E101" t="s">
        <v>17</v>
      </c>
      <c r="F101">
        <v>3</v>
      </c>
      <c r="H101" s="6">
        <f>_xlfn.XLOOKUP(A101,Foglio6!A:A,Foglio6!B:B,0)</f>
        <v>5</v>
      </c>
      <c r="I101">
        <f>SUM(_xlfn.XLOOKUP(A101,Foglio6!A:A,Foglio6!E:E,0),_xlfn.XLOOKUP(A101,Foglio6!A:A,Foglio6!F:F,0))</f>
        <v>0</v>
      </c>
    </row>
    <row r="102" spans="1:9" x14ac:dyDescent="0.3">
      <c r="A102" t="s">
        <v>305</v>
      </c>
      <c r="B102" t="s">
        <v>33</v>
      </c>
      <c r="C102">
        <v>27</v>
      </c>
      <c r="D102" t="s">
        <v>20</v>
      </c>
      <c r="E102" t="s">
        <v>27</v>
      </c>
      <c r="F102">
        <v>7</v>
      </c>
      <c r="H102" s="6">
        <f>_xlfn.XLOOKUP(A102,Foglio6!A:A,Foglio6!B:B,0)</f>
        <v>4.5</v>
      </c>
      <c r="I102">
        <f>SUM(_xlfn.XLOOKUP(A102,Foglio6!A:A,Foglio6!E:E,0),_xlfn.XLOOKUP(A102,Foglio6!A:A,Foglio6!F:F,0))</f>
        <v>0</v>
      </c>
    </row>
    <row r="103" spans="1:9" x14ac:dyDescent="0.3">
      <c r="A103" t="s">
        <v>326</v>
      </c>
      <c r="B103" t="s">
        <v>74</v>
      </c>
      <c r="C103">
        <v>21</v>
      </c>
      <c r="D103" t="s">
        <v>20</v>
      </c>
      <c r="E103" t="s">
        <v>27</v>
      </c>
      <c r="F103">
        <v>6</v>
      </c>
      <c r="G103" s="8">
        <v>0</v>
      </c>
      <c r="H103" s="6">
        <f>_xlfn.XLOOKUP(A103,Foglio6!A:A,Foglio6!B:B,0)</f>
        <v>4.5</v>
      </c>
      <c r="I103">
        <f>SUM(_xlfn.XLOOKUP(A103,Foglio6!A:A,Foglio6!E:E,0),_xlfn.XLOOKUP(A103,Foglio6!A:A,Foglio6!F:F,0))</f>
        <v>0</v>
      </c>
    </row>
    <row r="104" spans="1:9" x14ac:dyDescent="0.3">
      <c r="A104" t="s">
        <v>143</v>
      </c>
      <c r="B104" t="s">
        <v>14</v>
      </c>
      <c r="C104">
        <v>23</v>
      </c>
      <c r="D104" t="s">
        <v>20</v>
      </c>
      <c r="E104" t="s">
        <v>83</v>
      </c>
      <c r="F104">
        <v>17</v>
      </c>
      <c r="H104" s="6">
        <f>_xlfn.XLOOKUP(A104,Foglio6!A:A,Foglio6!B:B,0)</f>
        <v>4</v>
      </c>
      <c r="I104">
        <f>SUM(_xlfn.XLOOKUP(A104,Foglio6!A:A,Foglio6!E:E,0),_xlfn.XLOOKUP(A104,Foglio6!A:A,Foglio6!F:F,0))</f>
        <v>0</v>
      </c>
    </row>
    <row r="105" spans="1:9" x14ac:dyDescent="0.3">
      <c r="A105" t="s">
        <v>166</v>
      </c>
      <c r="B105" t="s">
        <v>55</v>
      </c>
      <c r="C105">
        <v>24</v>
      </c>
      <c r="D105" t="s">
        <v>20</v>
      </c>
      <c r="E105" t="s">
        <v>34</v>
      </c>
      <c r="F105">
        <v>14</v>
      </c>
      <c r="H105" s="6">
        <f>_xlfn.XLOOKUP(A105,Foglio6!A:A,Foglio6!B:B,0)</f>
        <v>4</v>
      </c>
      <c r="I105">
        <f>SUM(_xlfn.XLOOKUP(A105,Foglio6!A:A,Foglio6!E:E,0),_xlfn.XLOOKUP(A105,Foglio6!A:A,Foglio6!F:F,0))</f>
        <v>0</v>
      </c>
    </row>
    <row r="106" spans="1:9" x14ac:dyDescent="0.3">
      <c r="A106" t="s">
        <v>325</v>
      </c>
      <c r="B106" t="s">
        <v>157</v>
      </c>
      <c r="C106">
        <v>21</v>
      </c>
      <c r="D106" t="s">
        <v>20</v>
      </c>
      <c r="E106" t="s">
        <v>27</v>
      </c>
      <c r="F106">
        <v>6</v>
      </c>
      <c r="H106" s="6">
        <f>_xlfn.XLOOKUP(A106,Foglio6!A:A,Foglio6!B:B,0)</f>
        <v>4</v>
      </c>
      <c r="I106">
        <f>SUM(_xlfn.XLOOKUP(A106,Foglio6!A:A,Foglio6!E:E,0),_xlfn.XLOOKUP(A106,Foglio6!A:A,Foglio6!F:F,0))</f>
        <v>0</v>
      </c>
    </row>
    <row r="107" spans="1:9" x14ac:dyDescent="0.3">
      <c r="A107" t="s">
        <v>323</v>
      </c>
      <c r="B107" t="s">
        <v>33</v>
      </c>
      <c r="C107">
        <v>21</v>
      </c>
      <c r="D107" t="s">
        <v>20</v>
      </c>
      <c r="E107" t="s">
        <v>27</v>
      </c>
      <c r="F107">
        <v>6</v>
      </c>
      <c r="G107" s="8">
        <v>0</v>
      </c>
      <c r="H107" s="6">
        <f>_xlfn.XLOOKUP(A107,Foglio6!A:A,Foglio6!B:B,0)</f>
        <v>3.5</v>
      </c>
      <c r="I107">
        <f>SUM(_xlfn.XLOOKUP(A107,Foglio6!A:A,Foglio6!E:E,0),_xlfn.XLOOKUP(A107,Foglio6!A:A,Foglio6!F:F,0))</f>
        <v>0</v>
      </c>
    </row>
    <row r="108" spans="1:9" x14ac:dyDescent="0.3">
      <c r="A108" s="1" t="s">
        <v>211</v>
      </c>
      <c r="B108" t="s">
        <v>33</v>
      </c>
      <c r="C108">
        <v>27</v>
      </c>
      <c r="D108" t="s">
        <v>20</v>
      </c>
      <c r="E108" t="s">
        <v>48</v>
      </c>
      <c r="F108">
        <v>11</v>
      </c>
      <c r="H108" s="6">
        <f>_xlfn.XLOOKUP(A108,Foglio6!A:A,Foglio6!B:B,0)</f>
        <v>3</v>
      </c>
      <c r="I108">
        <f>SUM(_xlfn.XLOOKUP(A108,Foglio6!A:A,Foglio6!E:E,0),_xlfn.XLOOKUP(A108,Foglio6!A:A,Foglio6!F:F,0))</f>
        <v>0</v>
      </c>
    </row>
    <row r="109" spans="1:9" x14ac:dyDescent="0.3">
      <c r="A109" t="s">
        <v>293</v>
      </c>
      <c r="B109" t="s">
        <v>45</v>
      </c>
      <c r="C109">
        <v>19</v>
      </c>
      <c r="D109" t="s">
        <v>20</v>
      </c>
      <c r="E109" t="s">
        <v>23</v>
      </c>
      <c r="F109">
        <v>7</v>
      </c>
      <c r="H109" s="6">
        <f>_xlfn.XLOOKUP(A109,Foglio6!A:A,Foglio6!B:B,0)</f>
        <v>3</v>
      </c>
      <c r="I109">
        <f>SUM(_xlfn.XLOOKUP(A109,Foglio6!A:A,Foglio6!E:E,0),_xlfn.XLOOKUP(A109,Foglio6!A:A,Foglio6!F:F,0))</f>
        <v>0</v>
      </c>
    </row>
    <row r="110" spans="1:9" x14ac:dyDescent="0.3">
      <c r="A110" t="s">
        <v>291</v>
      </c>
      <c r="B110" t="s">
        <v>74</v>
      </c>
      <c r="C110">
        <v>21</v>
      </c>
      <c r="D110" t="s">
        <v>20</v>
      </c>
      <c r="E110" t="s">
        <v>83</v>
      </c>
      <c r="F110">
        <v>7</v>
      </c>
      <c r="H110" s="6">
        <f>_xlfn.XLOOKUP(A110,Foglio6!A:A,Foglio6!B:B,0)</f>
        <v>3</v>
      </c>
      <c r="I110">
        <f>SUM(_xlfn.XLOOKUP(A110,Foglio6!A:A,Foglio6!E:E,0),_xlfn.XLOOKUP(A110,Foglio6!A:A,Foglio6!F:F,0))</f>
        <v>0</v>
      </c>
    </row>
    <row r="111" spans="1:9" x14ac:dyDescent="0.3">
      <c r="A111" t="s">
        <v>290</v>
      </c>
      <c r="B111" t="s">
        <v>19</v>
      </c>
      <c r="C111">
        <v>32</v>
      </c>
      <c r="D111" t="s">
        <v>20</v>
      </c>
      <c r="E111" t="s">
        <v>27</v>
      </c>
      <c r="F111">
        <v>7</v>
      </c>
      <c r="H111" s="6">
        <f>_xlfn.XLOOKUP(A111,Foglio6!A:A,Foglio6!B:B,0)</f>
        <v>3</v>
      </c>
      <c r="I111">
        <f>SUM(_xlfn.XLOOKUP(A111,Foglio6!A:A,Foglio6!E:E,0),_xlfn.XLOOKUP(A111,Foglio6!A:A,Foglio6!F:F,0))</f>
        <v>0</v>
      </c>
    </row>
    <row r="112" spans="1:9" x14ac:dyDescent="0.3">
      <c r="A112" t="s">
        <v>340</v>
      </c>
      <c r="B112" t="s">
        <v>55</v>
      </c>
      <c r="C112">
        <v>32</v>
      </c>
      <c r="D112" t="s">
        <v>20</v>
      </c>
      <c r="E112" t="s">
        <v>27</v>
      </c>
      <c r="F112">
        <v>6</v>
      </c>
      <c r="H112" s="6">
        <f>_xlfn.XLOOKUP(A112,Foglio6!A:A,Foglio6!B:B,0)</f>
        <v>3</v>
      </c>
      <c r="I112">
        <f>SUM(_xlfn.XLOOKUP(A112,Foglio6!A:A,Foglio6!E:E,0),_xlfn.XLOOKUP(A112,Foglio6!A:A,Foglio6!F:F,0))</f>
        <v>2</v>
      </c>
    </row>
    <row r="113" spans="1:12" x14ac:dyDescent="0.3">
      <c r="A113" t="s">
        <v>384</v>
      </c>
      <c r="B113" t="s">
        <v>64</v>
      </c>
      <c r="C113">
        <v>22</v>
      </c>
      <c r="D113" t="s">
        <v>20</v>
      </c>
      <c r="E113" t="s">
        <v>27</v>
      </c>
      <c r="F113">
        <v>5</v>
      </c>
      <c r="H113" s="6">
        <f>_xlfn.XLOOKUP(A113,Foglio6!A:A,Foglio6!B:B,0)</f>
        <v>3</v>
      </c>
      <c r="I113">
        <f>SUM(_xlfn.XLOOKUP(A113,Foglio6!A:A,Foglio6!E:E,0),_xlfn.XLOOKUP(A113,Foglio6!A:A,Foglio6!F:F,0))</f>
        <v>0</v>
      </c>
    </row>
    <row r="114" spans="1:12" x14ac:dyDescent="0.3">
      <c r="A114" t="s">
        <v>445</v>
      </c>
      <c r="B114" t="s">
        <v>157</v>
      </c>
      <c r="C114">
        <v>22</v>
      </c>
      <c r="D114" t="s">
        <v>20</v>
      </c>
      <c r="E114" t="s">
        <v>23</v>
      </c>
      <c r="F114">
        <v>3</v>
      </c>
      <c r="H114" s="6">
        <f>_xlfn.XLOOKUP(A114,Foglio6!A:A,Foglio6!B:B,0)</f>
        <v>3</v>
      </c>
      <c r="I114">
        <f>SUM(_xlfn.XLOOKUP(A114,Foglio6!A:A,Foglio6!E:E,0),_xlfn.XLOOKUP(A114,Foglio6!A:A,Foglio6!F:F,0))</f>
        <v>0</v>
      </c>
    </row>
    <row r="115" spans="1:12" x14ac:dyDescent="0.3">
      <c r="A115" t="s">
        <v>324</v>
      </c>
      <c r="B115" t="s">
        <v>157</v>
      </c>
      <c r="C115">
        <v>25</v>
      </c>
      <c r="D115" t="s">
        <v>20</v>
      </c>
      <c r="E115" t="s">
        <v>20</v>
      </c>
      <c r="F115">
        <v>6</v>
      </c>
      <c r="H115" s="6">
        <f>_xlfn.XLOOKUP(A115,Foglio6!A:A,Foglio6!B:B,0)</f>
        <v>2.5</v>
      </c>
      <c r="I115">
        <f>SUM(_xlfn.XLOOKUP(A115,Foglio6!A:A,Foglio6!E:E,0),_xlfn.XLOOKUP(A115,Foglio6!A:A,Foglio6!F:F,0))</f>
        <v>0</v>
      </c>
    </row>
    <row r="116" spans="1:12" x14ac:dyDescent="0.3">
      <c r="A116" t="s">
        <v>227</v>
      </c>
      <c r="B116" t="s">
        <v>19</v>
      </c>
      <c r="C116">
        <v>26</v>
      </c>
      <c r="D116" t="s">
        <v>20</v>
      </c>
      <c r="E116" t="s">
        <v>23</v>
      </c>
      <c r="F116">
        <v>10</v>
      </c>
      <c r="H116" s="6">
        <f>_xlfn.XLOOKUP(A116,Foglio6!A:A,Foglio6!B:B,0)</f>
        <v>2</v>
      </c>
      <c r="I116">
        <f>SUM(_xlfn.XLOOKUP(A116,Foglio6!A:A,Foglio6!E:E,0),_xlfn.XLOOKUP(A116,Foglio6!A:A,Foglio6!F:F,0))</f>
        <v>0</v>
      </c>
    </row>
    <row r="117" spans="1:12" x14ac:dyDescent="0.3">
      <c r="A117" t="s">
        <v>296</v>
      </c>
      <c r="B117" t="s">
        <v>115</v>
      </c>
      <c r="C117">
        <v>27</v>
      </c>
      <c r="D117" t="s">
        <v>20</v>
      </c>
      <c r="E117" t="s">
        <v>34</v>
      </c>
      <c r="F117">
        <v>7</v>
      </c>
      <c r="G117" s="8">
        <v>0</v>
      </c>
      <c r="H117" s="6">
        <f>_xlfn.XLOOKUP(A117,Foglio6!A:A,Foglio6!B:B,0)</f>
        <v>2</v>
      </c>
      <c r="I117">
        <f>SUM(_xlfn.XLOOKUP(A117,Foglio6!A:A,Foglio6!E:E,0),_xlfn.XLOOKUP(A117,Foglio6!A:A,Foglio6!F:F,0))</f>
        <v>0</v>
      </c>
    </row>
    <row r="118" spans="1:12" x14ac:dyDescent="0.3">
      <c r="A118" t="s">
        <v>295</v>
      </c>
      <c r="B118" t="s">
        <v>55</v>
      </c>
      <c r="C118">
        <v>25</v>
      </c>
      <c r="D118" t="s">
        <v>20</v>
      </c>
      <c r="E118" t="s">
        <v>23</v>
      </c>
      <c r="F118">
        <v>7</v>
      </c>
      <c r="H118" s="6">
        <f>_xlfn.XLOOKUP(A118,Foglio6!A:A,Foglio6!B:B,0)</f>
        <v>2</v>
      </c>
      <c r="I118">
        <f>SUM(_xlfn.XLOOKUP(A118,Foglio6!A:A,Foglio6!E:E,0),_xlfn.XLOOKUP(A118,Foglio6!A:A,Foglio6!F:F,0))</f>
        <v>0</v>
      </c>
    </row>
    <row r="119" spans="1:12" x14ac:dyDescent="0.3">
      <c r="A119" s="13" t="s">
        <v>336</v>
      </c>
      <c r="B119" t="s">
        <v>29</v>
      </c>
      <c r="C119">
        <v>28</v>
      </c>
      <c r="D119" t="s">
        <v>20</v>
      </c>
      <c r="E119" t="s">
        <v>20</v>
      </c>
      <c r="F119">
        <v>6</v>
      </c>
      <c r="H119" s="6">
        <f>_xlfn.XLOOKUP(A119,Foglio6!A:A,Foglio6!B:B,0)</f>
        <v>2</v>
      </c>
      <c r="I119">
        <f>SUM(_xlfn.XLOOKUP(A119,Foglio6!A:A,Foglio6!E:E,0),_xlfn.XLOOKUP(A119,Foglio6!A:A,Foglio6!F:F,0))</f>
        <v>0</v>
      </c>
      <c r="L119">
        <v>1</v>
      </c>
    </row>
    <row r="120" spans="1:12" x14ac:dyDescent="0.3">
      <c r="A120" t="s">
        <v>322</v>
      </c>
      <c r="B120" t="s">
        <v>115</v>
      </c>
      <c r="C120">
        <v>19</v>
      </c>
      <c r="D120" t="s">
        <v>20</v>
      </c>
      <c r="E120" t="s">
        <v>34</v>
      </c>
      <c r="F120">
        <v>6</v>
      </c>
      <c r="H120" s="6">
        <f>_xlfn.XLOOKUP(A120,Foglio6!A:A,Foglio6!B:B,0)</f>
        <v>2</v>
      </c>
      <c r="I120">
        <f>SUM(_xlfn.XLOOKUP(A120,Foglio6!A:A,Foglio6!E:E,0),_xlfn.XLOOKUP(A120,Foglio6!A:A,Foglio6!F:F,0))</f>
        <v>0</v>
      </c>
    </row>
    <row r="121" spans="1:12" x14ac:dyDescent="0.3">
      <c r="A121" t="s">
        <v>333</v>
      </c>
      <c r="B121" t="s">
        <v>64</v>
      </c>
      <c r="C121">
        <v>21</v>
      </c>
      <c r="D121" t="s">
        <v>20</v>
      </c>
      <c r="E121" t="s">
        <v>34</v>
      </c>
      <c r="F121">
        <v>6</v>
      </c>
      <c r="H121" s="6">
        <f>_xlfn.XLOOKUP(A121,Foglio6!A:A,Foglio6!B:B,0)</f>
        <v>2</v>
      </c>
      <c r="I121">
        <f>SUM(_xlfn.XLOOKUP(A121,Foglio6!A:A,Foglio6!E:E,0),_xlfn.XLOOKUP(A121,Foglio6!A:A,Foglio6!F:F,0))</f>
        <v>0</v>
      </c>
    </row>
    <row r="122" spans="1:12" x14ac:dyDescent="0.3">
      <c r="A122" t="s">
        <v>480</v>
      </c>
      <c r="B122" t="s">
        <v>157</v>
      </c>
      <c r="C122">
        <v>26</v>
      </c>
      <c r="D122" t="s">
        <v>20</v>
      </c>
      <c r="E122" t="s">
        <v>20</v>
      </c>
      <c r="F122">
        <v>2</v>
      </c>
      <c r="H122" s="6">
        <f>_xlfn.XLOOKUP(A122,Foglio6!A:A,Foglio6!B:B,0)</f>
        <v>2</v>
      </c>
      <c r="I122">
        <f>SUM(_xlfn.XLOOKUP(A122,Foglio6!A:A,Foglio6!E:E,0),_xlfn.XLOOKUP(A122,Foglio6!A:A,Foglio6!F:F,0))</f>
        <v>0</v>
      </c>
    </row>
    <row r="123" spans="1:12" x14ac:dyDescent="0.3">
      <c r="A123" t="s">
        <v>186</v>
      </c>
      <c r="B123" t="s">
        <v>33</v>
      </c>
      <c r="C123">
        <v>26</v>
      </c>
      <c r="D123" t="s">
        <v>20</v>
      </c>
      <c r="E123" t="s">
        <v>34</v>
      </c>
      <c r="F123">
        <v>13</v>
      </c>
      <c r="H123" s="6">
        <f>_xlfn.XLOOKUP(A123,Foglio6!A:A,Foglio6!B:B,0)</f>
        <v>1</v>
      </c>
      <c r="I123">
        <f>SUM(_xlfn.XLOOKUP(A123,Foglio6!A:A,Foglio6!E:E,0),_xlfn.XLOOKUP(A123,Foglio6!A:A,Foglio6!F:F,0))</f>
        <v>0</v>
      </c>
    </row>
    <row r="124" spans="1:12" x14ac:dyDescent="0.3">
      <c r="A124" t="s">
        <v>209</v>
      </c>
      <c r="B124" t="s">
        <v>19</v>
      </c>
      <c r="C124">
        <v>19</v>
      </c>
      <c r="D124" t="s">
        <v>20</v>
      </c>
      <c r="E124" t="s">
        <v>48</v>
      </c>
      <c r="F124">
        <v>11</v>
      </c>
      <c r="H124" s="6">
        <f>_xlfn.XLOOKUP(A124,Foglio6!A:A,Foglio6!B:B,0)</f>
        <v>1</v>
      </c>
      <c r="I124">
        <f>SUM(_xlfn.XLOOKUP(A124,Foglio6!A:A,Foglio6!E:E,0),_xlfn.XLOOKUP(A124,Foglio6!A:A,Foglio6!F:F,0))</f>
        <v>0</v>
      </c>
    </row>
    <row r="125" spans="1:12" x14ac:dyDescent="0.3">
      <c r="A125" t="s">
        <v>210</v>
      </c>
      <c r="B125" t="s">
        <v>39</v>
      </c>
      <c r="C125">
        <v>24</v>
      </c>
      <c r="D125" t="s">
        <v>20</v>
      </c>
      <c r="E125" t="s">
        <v>96</v>
      </c>
      <c r="F125">
        <v>11</v>
      </c>
      <c r="H125" s="6">
        <f>_xlfn.XLOOKUP(A125,Foglio6!A:A,Foglio6!B:B,0)</f>
        <v>1</v>
      </c>
      <c r="I125">
        <f>SUM(_xlfn.XLOOKUP(A125,Foglio6!A:A,Foglio6!E:E,0),_xlfn.XLOOKUP(A125,Foglio6!A:A,Foglio6!F:F,0))</f>
        <v>0</v>
      </c>
    </row>
    <row r="126" spans="1:12" x14ac:dyDescent="0.3">
      <c r="A126" t="s">
        <v>331</v>
      </c>
      <c r="B126" t="s">
        <v>25</v>
      </c>
      <c r="C126">
        <v>24</v>
      </c>
      <c r="D126" t="s">
        <v>20</v>
      </c>
      <c r="E126" t="s">
        <v>20</v>
      </c>
      <c r="F126">
        <v>6</v>
      </c>
      <c r="H126" s="6">
        <f>_xlfn.XLOOKUP(A126,Foglio6!A:A,Foglio6!B:B,0)</f>
        <v>1</v>
      </c>
      <c r="I126">
        <f>SUM(_xlfn.XLOOKUP(A126,Foglio6!A:A,Foglio6!E:E,0),_xlfn.XLOOKUP(A126,Foglio6!A:A,Foglio6!F:F,0))</f>
        <v>0</v>
      </c>
    </row>
    <row r="127" spans="1:12" x14ac:dyDescent="0.3">
      <c r="A127" t="s">
        <v>338</v>
      </c>
      <c r="B127" t="s">
        <v>25</v>
      </c>
      <c r="C127">
        <v>30</v>
      </c>
      <c r="D127" t="s">
        <v>20</v>
      </c>
      <c r="E127" t="s">
        <v>23</v>
      </c>
      <c r="F127">
        <v>6</v>
      </c>
      <c r="H127" s="6">
        <f>_xlfn.XLOOKUP(A127,Foglio6!A:A,Foglio6!B:B,0)</f>
        <v>1</v>
      </c>
      <c r="I127">
        <f>SUM(_xlfn.XLOOKUP(A127,Foglio6!A:A,Foglio6!E:E,0),_xlfn.XLOOKUP(A127,Foglio6!A:A,Foglio6!F:F,0))</f>
        <v>0</v>
      </c>
    </row>
    <row r="128" spans="1:12" x14ac:dyDescent="0.3">
      <c r="A128" t="s">
        <v>379</v>
      </c>
      <c r="B128" t="s">
        <v>104</v>
      </c>
      <c r="C128">
        <v>25</v>
      </c>
      <c r="D128" t="s">
        <v>20</v>
      </c>
      <c r="E128" t="s">
        <v>96</v>
      </c>
      <c r="F128">
        <v>5</v>
      </c>
      <c r="H128" s="6">
        <f>_xlfn.XLOOKUP(A128,Foglio6!A:A,Foglio6!B:B,0)</f>
        <v>1</v>
      </c>
      <c r="I128">
        <f>SUM(_xlfn.XLOOKUP(A128,Foglio6!A:A,Foglio6!E:E,0),_xlfn.XLOOKUP(A128,Foglio6!A:A,Foglio6!F:F,0))</f>
        <v>0</v>
      </c>
    </row>
    <row r="129" spans="1:12" x14ac:dyDescent="0.3">
      <c r="A129" t="s">
        <v>380</v>
      </c>
      <c r="B129" t="s">
        <v>157</v>
      </c>
      <c r="C129">
        <v>20</v>
      </c>
      <c r="D129" t="s">
        <v>20</v>
      </c>
      <c r="E129" t="s">
        <v>96</v>
      </c>
      <c r="F129">
        <v>5</v>
      </c>
      <c r="H129" s="6">
        <f>_xlfn.XLOOKUP(A129,Foglio6!A:A,Foglio6!B:B,0)</f>
        <v>1</v>
      </c>
      <c r="I129">
        <f>SUM(_xlfn.XLOOKUP(A129,Foglio6!A:A,Foglio6!E:E,0),_xlfn.XLOOKUP(A129,Foglio6!A:A,Foglio6!F:F,0))</f>
        <v>0</v>
      </c>
    </row>
    <row r="130" spans="1:12" x14ac:dyDescent="0.3">
      <c r="A130" t="s">
        <v>419</v>
      </c>
      <c r="B130" t="s">
        <v>74</v>
      </c>
      <c r="C130">
        <v>35</v>
      </c>
      <c r="D130" t="s">
        <v>20</v>
      </c>
      <c r="E130" t="s">
        <v>83</v>
      </c>
      <c r="F130">
        <v>4</v>
      </c>
      <c r="H130" s="6">
        <f>_xlfn.XLOOKUP(A130,Foglio6!A:A,Foglio6!B:B,0)</f>
        <v>1</v>
      </c>
      <c r="I130">
        <f>SUM(_xlfn.XLOOKUP(A130,Foglio6!A:A,Foglio6!E:E,0),_xlfn.XLOOKUP(A130,Foglio6!A:A,Foglio6!F:F,0))</f>
        <v>0</v>
      </c>
    </row>
    <row r="131" spans="1:12" x14ac:dyDescent="0.3">
      <c r="A131" t="s">
        <v>414</v>
      </c>
      <c r="B131" t="s">
        <v>104</v>
      </c>
      <c r="C131">
        <v>23</v>
      </c>
      <c r="D131" t="s">
        <v>20</v>
      </c>
      <c r="E131" t="s">
        <v>27</v>
      </c>
      <c r="F131">
        <v>4</v>
      </c>
      <c r="H131" s="6">
        <f>_xlfn.XLOOKUP(A131,Foglio6!A:A,Foglio6!B:B,0)</f>
        <v>1</v>
      </c>
      <c r="I131">
        <f>SUM(_xlfn.XLOOKUP(A131,Foglio6!A:A,Foglio6!E:E,0),_xlfn.XLOOKUP(A131,Foglio6!A:A,Foglio6!F:F,0))</f>
        <v>0</v>
      </c>
    </row>
    <row r="132" spans="1:12" x14ac:dyDescent="0.3">
      <c r="A132" t="s">
        <v>450</v>
      </c>
      <c r="B132" t="s">
        <v>178</v>
      </c>
      <c r="C132">
        <v>28</v>
      </c>
      <c r="D132" t="s">
        <v>20</v>
      </c>
      <c r="E132" t="s">
        <v>27</v>
      </c>
      <c r="F132">
        <v>3</v>
      </c>
      <c r="H132" s="6">
        <f>_xlfn.XLOOKUP(A132,Foglio6!A:A,Foglio6!B:B,0)</f>
        <v>1</v>
      </c>
      <c r="I132">
        <f>SUM(_xlfn.XLOOKUP(A132,Foglio6!A:A,Foglio6!E:E,0),_xlfn.XLOOKUP(A132,Foglio6!A:A,Foglio6!F:F,0))</f>
        <v>0</v>
      </c>
    </row>
    <row r="133" spans="1:12" x14ac:dyDescent="0.3">
      <c r="A133" t="s">
        <v>517</v>
      </c>
      <c r="B133" t="s">
        <v>142</v>
      </c>
      <c r="C133">
        <v>22</v>
      </c>
      <c r="D133" t="s">
        <v>20</v>
      </c>
      <c r="E133" t="s">
        <v>83</v>
      </c>
      <c r="F133">
        <v>1</v>
      </c>
      <c r="H133" s="6">
        <f>_xlfn.XLOOKUP(A133,Foglio6!A:A,Foglio6!B:B,0)</f>
        <v>1</v>
      </c>
      <c r="I133">
        <f>SUM(_xlfn.XLOOKUP(A133,Foglio6!A:A,Foglio6!E:E,0),_xlfn.XLOOKUP(A133,Foglio6!A:A,Foglio6!F:F,0))</f>
        <v>0</v>
      </c>
    </row>
    <row r="134" spans="1:12" x14ac:dyDescent="0.3">
      <c r="A134" t="s">
        <v>471</v>
      </c>
      <c r="B134" t="s">
        <v>157</v>
      </c>
      <c r="C134">
        <v>25</v>
      </c>
      <c r="D134" t="s">
        <v>20</v>
      </c>
      <c r="E134" t="s">
        <v>27</v>
      </c>
      <c r="F134">
        <v>2</v>
      </c>
      <c r="H134" s="6">
        <f>_xlfn.XLOOKUP(A134,Foglio6!A:A,Foglio6!B:B,0)</f>
        <v>0.5</v>
      </c>
      <c r="I134">
        <f>SUM(_xlfn.XLOOKUP(A134,Foglio6!A:A,Foglio6!E:E,0),_xlfn.XLOOKUP(A134,Foglio6!A:A,Foglio6!F:F,0))</f>
        <v>0</v>
      </c>
    </row>
    <row r="135" spans="1:12" x14ac:dyDescent="0.3">
      <c r="A135" s="1" t="s">
        <v>168</v>
      </c>
      <c r="B135" t="s">
        <v>11</v>
      </c>
      <c r="C135">
        <v>30</v>
      </c>
      <c r="D135" t="s">
        <v>20</v>
      </c>
      <c r="E135" t="s">
        <v>23</v>
      </c>
      <c r="F135">
        <v>14</v>
      </c>
      <c r="H135" s="6">
        <f>_xlfn.XLOOKUP(A135,Foglio6!A:A,Foglio6!B:B,0)</f>
        <v>0</v>
      </c>
      <c r="I135">
        <f>SUM(_xlfn.XLOOKUP(A135,Foglio6!A:A,Foglio6!E:E,0),_xlfn.XLOOKUP(A135,Foglio6!A:A,Foglio6!F:F,0))</f>
        <v>0</v>
      </c>
    </row>
    <row r="136" spans="1:12" x14ac:dyDescent="0.3">
      <c r="A136" t="s">
        <v>196</v>
      </c>
      <c r="B136" t="s">
        <v>25</v>
      </c>
      <c r="C136">
        <v>27</v>
      </c>
      <c r="D136" t="s">
        <v>20</v>
      </c>
      <c r="E136" t="s">
        <v>27</v>
      </c>
      <c r="F136">
        <v>12</v>
      </c>
      <c r="H136" s="6">
        <f>_xlfn.XLOOKUP(A136,Foglio6!A:A,Foglio6!B:B,0)</f>
        <v>0</v>
      </c>
      <c r="I136">
        <f>SUM(_xlfn.XLOOKUP(A136,Foglio6!A:A,Foglio6!E:E,0),_xlfn.XLOOKUP(A136,Foglio6!A:A,Foglio6!F:F,0))</f>
        <v>0</v>
      </c>
    </row>
    <row r="137" spans="1:12" x14ac:dyDescent="0.3">
      <c r="A137" t="s">
        <v>195</v>
      </c>
      <c r="B137" t="s">
        <v>45</v>
      </c>
      <c r="C137">
        <v>23</v>
      </c>
      <c r="D137" t="s">
        <v>20</v>
      </c>
      <c r="E137" t="s">
        <v>83</v>
      </c>
      <c r="F137">
        <v>12</v>
      </c>
      <c r="H137" s="6">
        <f>_xlfn.XLOOKUP(A137,Foglio6!A:A,Foglio6!B:B,0)</f>
        <v>0</v>
      </c>
      <c r="I137">
        <f>SUM(_xlfn.XLOOKUP(A137,Foglio6!A:A,Foglio6!E:E,0),_xlfn.XLOOKUP(A137,Foglio6!A:A,Foglio6!F:F,0))</f>
        <v>0</v>
      </c>
    </row>
    <row r="138" spans="1:12" x14ac:dyDescent="0.3">
      <c r="A138" s="13" t="s">
        <v>229</v>
      </c>
      <c r="B138" t="s">
        <v>7</v>
      </c>
      <c r="C138">
        <v>37</v>
      </c>
      <c r="D138" t="s">
        <v>20</v>
      </c>
      <c r="E138" t="s">
        <v>20</v>
      </c>
      <c r="F138">
        <v>10</v>
      </c>
      <c r="H138" s="6">
        <f>_xlfn.XLOOKUP(A138,Foglio6!A:A,Foglio6!B:B,0)</f>
        <v>0</v>
      </c>
      <c r="I138">
        <f>SUM(_xlfn.XLOOKUP(A138,Foglio6!A:A,Foglio6!E:E,0),_xlfn.XLOOKUP(A138,Foglio6!A:A,Foglio6!F:F,0))</f>
        <v>0</v>
      </c>
      <c r="L138">
        <v>1</v>
      </c>
    </row>
    <row r="139" spans="1:12" x14ac:dyDescent="0.3">
      <c r="A139" t="s">
        <v>221</v>
      </c>
      <c r="B139" t="s">
        <v>45</v>
      </c>
      <c r="C139">
        <v>24</v>
      </c>
      <c r="D139" t="s">
        <v>20</v>
      </c>
      <c r="E139" t="s">
        <v>20</v>
      </c>
      <c r="F139">
        <v>10</v>
      </c>
      <c r="H139" s="6">
        <f>_xlfn.XLOOKUP(A139,Foglio6!A:A,Foglio6!B:B,0)</f>
        <v>0</v>
      </c>
      <c r="I139">
        <f>SUM(_xlfn.XLOOKUP(A139,Foglio6!A:A,Foglio6!E:E,0),_xlfn.XLOOKUP(A139,Foglio6!A:A,Foglio6!F:F,0))</f>
        <v>0</v>
      </c>
    </row>
    <row r="140" spans="1:12" x14ac:dyDescent="0.3">
      <c r="A140" t="s">
        <v>244</v>
      </c>
      <c r="B140" t="s">
        <v>11</v>
      </c>
      <c r="C140">
        <v>22</v>
      </c>
      <c r="D140" t="s">
        <v>20</v>
      </c>
      <c r="E140" t="s">
        <v>20</v>
      </c>
      <c r="F140">
        <v>9</v>
      </c>
      <c r="H140" s="6">
        <f>_xlfn.XLOOKUP(A140,Foglio6!A:A,Foglio6!B:B,0)</f>
        <v>0</v>
      </c>
      <c r="I140">
        <f>SUM(_xlfn.XLOOKUP(A140,Foglio6!A:A,Foglio6!E:E,0),_xlfn.XLOOKUP(A140,Foglio6!A:A,Foglio6!F:F,0))</f>
        <v>0</v>
      </c>
      <c r="L140">
        <v>1</v>
      </c>
    </row>
    <row r="141" spans="1:12" x14ac:dyDescent="0.3">
      <c r="A141" s="13" t="s">
        <v>247</v>
      </c>
      <c r="B141" t="s">
        <v>29</v>
      </c>
      <c r="C141">
        <v>27</v>
      </c>
      <c r="D141" t="s">
        <v>20</v>
      </c>
      <c r="E141" t="s">
        <v>96</v>
      </c>
      <c r="F141">
        <v>9</v>
      </c>
      <c r="H141" s="6">
        <f>_xlfn.XLOOKUP(A141,Foglio6!A:A,Foglio6!B:B,0)</f>
        <v>0</v>
      </c>
      <c r="I141">
        <f>SUM(_xlfn.XLOOKUP(A141,Foglio6!A:A,Foglio6!E:E,0),_xlfn.XLOOKUP(A141,Foglio6!A:A,Foglio6!F:F,0))</f>
        <v>0</v>
      </c>
      <c r="L141">
        <v>1</v>
      </c>
    </row>
    <row r="142" spans="1:12" x14ac:dyDescent="0.3">
      <c r="A142" t="s">
        <v>243</v>
      </c>
      <c r="B142" t="s">
        <v>11</v>
      </c>
      <c r="C142">
        <v>25</v>
      </c>
      <c r="D142" t="s">
        <v>20</v>
      </c>
      <c r="E142" t="s">
        <v>27</v>
      </c>
      <c r="F142">
        <v>9</v>
      </c>
      <c r="H142" s="6">
        <f>_xlfn.XLOOKUP(A142,Foglio6!A:A,Foglio6!B:B,0)</f>
        <v>0</v>
      </c>
      <c r="I142">
        <f>SUM(_xlfn.XLOOKUP(A142,Foglio6!A:A,Foglio6!E:E,0),_xlfn.XLOOKUP(A142,Foglio6!A:A,Foglio6!F:F,0))</f>
        <v>0</v>
      </c>
    </row>
    <row r="143" spans="1:12" x14ac:dyDescent="0.3">
      <c r="A143" t="s">
        <v>264</v>
      </c>
      <c r="B143" t="s">
        <v>142</v>
      </c>
      <c r="C143">
        <v>28</v>
      </c>
      <c r="D143" t="s">
        <v>20</v>
      </c>
      <c r="E143" t="s">
        <v>265</v>
      </c>
      <c r="F143">
        <v>8</v>
      </c>
      <c r="H143" s="6">
        <f>_xlfn.XLOOKUP(A143,Foglio6!A:A,Foglio6!B:B,0)</f>
        <v>0</v>
      </c>
      <c r="I143">
        <f>SUM(_xlfn.XLOOKUP(A143,Foglio6!A:A,Foglio6!E:E,0),_xlfn.XLOOKUP(A143,Foglio6!A:A,Foglio6!F:F,0))</f>
        <v>0</v>
      </c>
    </row>
    <row r="144" spans="1:12" x14ac:dyDescent="0.3">
      <c r="A144" t="s">
        <v>300</v>
      </c>
      <c r="B144" t="s">
        <v>29</v>
      </c>
      <c r="C144">
        <v>28</v>
      </c>
      <c r="D144" t="s">
        <v>20</v>
      </c>
      <c r="E144" t="s">
        <v>23</v>
      </c>
      <c r="F144">
        <v>7</v>
      </c>
      <c r="H144" s="6">
        <f>_xlfn.XLOOKUP(A144,Foglio6!A:A,Foglio6!B:B,0)</f>
        <v>0</v>
      </c>
      <c r="I144">
        <f>SUM(_xlfn.XLOOKUP(A144,Foglio6!A:A,Foglio6!E:E,0),_xlfn.XLOOKUP(A144,Foglio6!A:A,Foglio6!F:F,0))</f>
        <v>0</v>
      </c>
    </row>
    <row r="145" spans="1:11" x14ac:dyDescent="0.3">
      <c r="A145" t="s">
        <v>304</v>
      </c>
      <c r="B145" t="s">
        <v>7</v>
      </c>
      <c r="C145">
        <v>25</v>
      </c>
      <c r="D145" t="s">
        <v>20</v>
      </c>
      <c r="E145" t="s">
        <v>17</v>
      </c>
      <c r="F145">
        <v>7</v>
      </c>
      <c r="H145" s="6">
        <f>_xlfn.XLOOKUP(A145,Foglio6!A:A,Foglio6!B:B,0)</f>
        <v>0</v>
      </c>
      <c r="I145">
        <f>SUM(_xlfn.XLOOKUP(A145,Foglio6!A:A,Foglio6!E:E,0),_xlfn.XLOOKUP(A145,Foglio6!A:A,Foglio6!F:F,0))</f>
        <v>0</v>
      </c>
    </row>
    <row r="146" spans="1:11" x14ac:dyDescent="0.3">
      <c r="A146" t="s">
        <v>332</v>
      </c>
      <c r="B146" t="s">
        <v>45</v>
      </c>
      <c r="C146">
        <v>23</v>
      </c>
      <c r="D146" t="s">
        <v>20</v>
      </c>
      <c r="E146" t="s">
        <v>34</v>
      </c>
      <c r="F146">
        <v>6</v>
      </c>
      <c r="H146" s="6">
        <f>_xlfn.XLOOKUP(A146,Foglio6!A:A,Foglio6!B:B,0)</f>
        <v>0</v>
      </c>
      <c r="I146">
        <f>SUM(_xlfn.XLOOKUP(A146,Foglio6!A:A,Foglio6!E:E,0),_xlfn.XLOOKUP(A146,Foglio6!A:A,Foglio6!F:F,0))</f>
        <v>0</v>
      </c>
    </row>
    <row r="147" spans="1:11" x14ac:dyDescent="0.3">
      <c r="A147" t="s">
        <v>334</v>
      </c>
      <c r="B147" t="s">
        <v>29</v>
      </c>
      <c r="C147">
        <v>23</v>
      </c>
      <c r="D147" t="s">
        <v>20</v>
      </c>
      <c r="E147" t="s">
        <v>23</v>
      </c>
      <c r="F147">
        <v>6</v>
      </c>
      <c r="H147" s="6">
        <f>_xlfn.XLOOKUP(A147,Foglio6!A:A,Foglio6!B:B,0)</f>
        <v>0</v>
      </c>
      <c r="I147">
        <f>SUM(_xlfn.XLOOKUP(A147,Foglio6!A:A,Foglio6!E:E,0),_xlfn.XLOOKUP(A147,Foglio6!A:A,Foglio6!F:F,0))</f>
        <v>0</v>
      </c>
    </row>
    <row r="148" spans="1:11" x14ac:dyDescent="0.3">
      <c r="A148" t="s">
        <v>335</v>
      </c>
      <c r="B148" t="s">
        <v>25</v>
      </c>
      <c r="C148">
        <v>25</v>
      </c>
      <c r="D148" t="s">
        <v>20</v>
      </c>
      <c r="E148" t="s">
        <v>27</v>
      </c>
      <c r="F148">
        <v>6</v>
      </c>
      <c r="H148" s="6">
        <f>_xlfn.XLOOKUP(A148,Foglio6!A:A,Foglio6!B:B,0)</f>
        <v>0</v>
      </c>
      <c r="I148">
        <f>SUM(_xlfn.XLOOKUP(A148,Foglio6!A:A,Foglio6!E:E,0),_xlfn.XLOOKUP(A148,Foglio6!A:A,Foglio6!F:F,0))</f>
        <v>0</v>
      </c>
    </row>
    <row r="149" spans="1:11" x14ac:dyDescent="0.3">
      <c r="A149" t="s">
        <v>378</v>
      </c>
      <c r="B149" t="s">
        <v>19</v>
      </c>
      <c r="C149">
        <v>21</v>
      </c>
      <c r="D149" t="s">
        <v>20</v>
      </c>
      <c r="E149" t="s">
        <v>34</v>
      </c>
      <c r="F149">
        <v>5</v>
      </c>
      <c r="G149" s="8">
        <v>0</v>
      </c>
      <c r="H149" s="6">
        <f>_xlfn.XLOOKUP(A149,Foglio6!A:A,Foglio6!B:B,0)</f>
        <v>0</v>
      </c>
      <c r="I149">
        <f>SUM(_xlfn.XLOOKUP(A149,Foglio6!A:A,Foglio6!E:E,0),_xlfn.XLOOKUP(A149,Foglio6!A:A,Foglio6!F:F,0))</f>
        <v>0</v>
      </c>
      <c r="J149">
        <v>0</v>
      </c>
      <c r="K149">
        <v>0</v>
      </c>
    </row>
    <row r="150" spans="1:11" x14ac:dyDescent="0.3">
      <c r="A150" t="s">
        <v>382</v>
      </c>
      <c r="B150" t="s">
        <v>14</v>
      </c>
      <c r="C150">
        <v>28</v>
      </c>
      <c r="D150" t="s">
        <v>20</v>
      </c>
      <c r="E150" t="s">
        <v>23</v>
      </c>
      <c r="F150">
        <v>5</v>
      </c>
      <c r="H150" s="6">
        <f>_xlfn.XLOOKUP(A150,Foglio6!A:A,Foglio6!B:B,0)</f>
        <v>0</v>
      </c>
      <c r="I150">
        <f>SUM(_xlfn.XLOOKUP(A150,Foglio6!A:A,Foglio6!E:E,0),_xlfn.XLOOKUP(A150,Foglio6!A:A,Foglio6!F:F,0))</f>
        <v>0</v>
      </c>
    </row>
    <row r="151" spans="1:11" x14ac:dyDescent="0.3">
      <c r="A151" t="s">
        <v>385</v>
      </c>
      <c r="B151" t="s">
        <v>14</v>
      </c>
      <c r="C151">
        <v>25</v>
      </c>
      <c r="D151" t="s">
        <v>20</v>
      </c>
      <c r="E151" t="s">
        <v>27</v>
      </c>
      <c r="F151">
        <v>5</v>
      </c>
      <c r="H151" s="6">
        <f>_xlfn.XLOOKUP(A151,Foglio6!A:A,Foglio6!B:B,0)</f>
        <v>0</v>
      </c>
      <c r="I151">
        <f>SUM(_xlfn.XLOOKUP(A151,Foglio6!A:A,Foglio6!E:E,0),_xlfn.XLOOKUP(A151,Foglio6!A:A,Foglio6!F:F,0))</f>
        <v>0</v>
      </c>
    </row>
    <row r="152" spans="1:11" x14ac:dyDescent="0.3">
      <c r="A152" t="s">
        <v>383</v>
      </c>
      <c r="B152" t="s">
        <v>33</v>
      </c>
      <c r="C152">
        <v>28</v>
      </c>
      <c r="D152" t="s">
        <v>20</v>
      </c>
      <c r="E152" t="s">
        <v>27</v>
      </c>
      <c r="F152">
        <v>5</v>
      </c>
      <c r="H152" s="6">
        <f>_xlfn.XLOOKUP(A152,Foglio6!A:A,Foglio6!B:B,0)</f>
        <v>0</v>
      </c>
      <c r="I152">
        <f>SUM(_xlfn.XLOOKUP(A152,Foglio6!A:A,Foglio6!E:E,0),_xlfn.XLOOKUP(A152,Foglio6!A:A,Foglio6!F:F,0))</f>
        <v>0</v>
      </c>
    </row>
    <row r="153" spans="1:11" x14ac:dyDescent="0.3">
      <c r="A153" t="s">
        <v>381</v>
      </c>
      <c r="B153" t="s">
        <v>7</v>
      </c>
      <c r="C153">
        <v>21</v>
      </c>
      <c r="D153" t="s">
        <v>20</v>
      </c>
      <c r="E153" t="s">
        <v>27</v>
      </c>
      <c r="F153">
        <v>5</v>
      </c>
      <c r="H153" s="6">
        <f>_xlfn.XLOOKUP(A153,Foglio6!A:A,Foglio6!B:B,0)</f>
        <v>0</v>
      </c>
      <c r="I153">
        <f>SUM(_xlfn.XLOOKUP(A153,Foglio6!A:A,Foglio6!E:E,0),_xlfn.XLOOKUP(A153,Foglio6!A:A,Foglio6!F:F,0))</f>
        <v>0</v>
      </c>
    </row>
    <row r="154" spans="1:11" x14ac:dyDescent="0.3">
      <c r="A154" t="s">
        <v>420</v>
      </c>
      <c r="B154" t="s">
        <v>31</v>
      </c>
      <c r="C154">
        <v>26</v>
      </c>
      <c r="D154" t="s">
        <v>20</v>
      </c>
      <c r="E154" t="s">
        <v>23</v>
      </c>
      <c r="F154">
        <v>4</v>
      </c>
      <c r="H154" s="6">
        <f>_xlfn.XLOOKUP(A154,Foglio6!A:A,Foglio6!B:B,0)</f>
        <v>0</v>
      </c>
      <c r="I154">
        <f>SUM(_xlfn.XLOOKUP(A154,Foglio6!A:A,Foglio6!E:E,0),_xlfn.XLOOKUP(A154,Foglio6!A:A,Foglio6!F:F,0))</f>
        <v>0</v>
      </c>
    </row>
    <row r="155" spans="1:11" x14ac:dyDescent="0.3">
      <c r="A155" t="s">
        <v>413</v>
      </c>
      <c r="B155" t="s">
        <v>25</v>
      </c>
      <c r="C155">
        <v>20</v>
      </c>
      <c r="D155" t="s">
        <v>20</v>
      </c>
      <c r="E155" t="s">
        <v>83</v>
      </c>
      <c r="F155">
        <v>4</v>
      </c>
      <c r="H155" s="6">
        <f>_xlfn.XLOOKUP(A155,Foglio6!A:A,Foglio6!B:B,0)</f>
        <v>0</v>
      </c>
      <c r="I155">
        <f>SUM(_xlfn.XLOOKUP(A155,Foglio6!A:A,Foglio6!E:E,0),_xlfn.XLOOKUP(A155,Foglio6!A:A,Foglio6!F:F,0))</f>
        <v>0</v>
      </c>
    </row>
    <row r="156" spans="1:11" x14ac:dyDescent="0.3">
      <c r="A156" t="s">
        <v>416</v>
      </c>
      <c r="B156" t="s">
        <v>31</v>
      </c>
      <c r="C156">
        <v>23</v>
      </c>
      <c r="D156" t="s">
        <v>20</v>
      </c>
      <c r="E156" t="s">
        <v>23</v>
      </c>
      <c r="F156">
        <v>4</v>
      </c>
      <c r="H156" s="6">
        <f>_xlfn.XLOOKUP(A156,Foglio6!A:A,Foglio6!B:B,0)</f>
        <v>0</v>
      </c>
      <c r="I156">
        <f>SUM(_xlfn.XLOOKUP(A156,Foglio6!A:A,Foglio6!E:E,0),_xlfn.XLOOKUP(A156,Foglio6!A:A,Foglio6!F:F,0))</f>
        <v>0</v>
      </c>
    </row>
    <row r="157" spans="1:11" x14ac:dyDescent="0.3">
      <c r="A157" t="s">
        <v>415</v>
      </c>
      <c r="B157" t="s">
        <v>157</v>
      </c>
      <c r="C157">
        <v>30</v>
      </c>
      <c r="D157" t="s">
        <v>20</v>
      </c>
      <c r="E157" t="s">
        <v>23</v>
      </c>
      <c r="F157">
        <v>4</v>
      </c>
      <c r="H157" s="6">
        <f>_xlfn.XLOOKUP(A157,Foglio6!A:A,Foglio6!B:B,0)</f>
        <v>0</v>
      </c>
      <c r="I157">
        <f>SUM(_xlfn.XLOOKUP(A157,Foglio6!A:A,Foglio6!E:E,0),_xlfn.XLOOKUP(A157,Foglio6!A:A,Foglio6!F:F,0))</f>
        <v>0</v>
      </c>
    </row>
    <row r="158" spans="1:11" x14ac:dyDescent="0.3">
      <c r="A158" t="s">
        <v>418</v>
      </c>
      <c r="B158" t="s">
        <v>94</v>
      </c>
      <c r="C158">
        <v>26</v>
      </c>
      <c r="D158" t="s">
        <v>20</v>
      </c>
      <c r="E158" t="s">
        <v>23</v>
      </c>
      <c r="F158">
        <v>4</v>
      </c>
      <c r="H158" s="6">
        <f>_xlfn.XLOOKUP(A158,Foglio6!A:A,Foglio6!B:B,0)</f>
        <v>0</v>
      </c>
      <c r="I158">
        <f>SUM(_xlfn.XLOOKUP(A158,Foglio6!A:A,Foglio6!E:E,0),_xlfn.XLOOKUP(A158,Foglio6!A:A,Foglio6!F:F,0))</f>
        <v>0</v>
      </c>
    </row>
    <row r="159" spans="1:11" x14ac:dyDescent="0.3">
      <c r="A159" t="s">
        <v>417</v>
      </c>
      <c r="B159" t="s">
        <v>39</v>
      </c>
      <c r="C159">
        <v>23</v>
      </c>
      <c r="D159" t="s">
        <v>20</v>
      </c>
      <c r="E159" t="s">
        <v>27</v>
      </c>
      <c r="F159">
        <v>4</v>
      </c>
      <c r="H159" s="6">
        <f>_xlfn.XLOOKUP(A159,Foglio6!A:A,Foglio6!B:B,0)</f>
        <v>0</v>
      </c>
      <c r="I159">
        <f>SUM(_xlfn.XLOOKUP(A159,Foglio6!A:A,Foglio6!E:E,0),_xlfn.XLOOKUP(A159,Foglio6!A:A,Foglio6!F:F,0))</f>
        <v>0</v>
      </c>
    </row>
    <row r="160" spans="1:11" x14ac:dyDescent="0.3">
      <c r="A160" t="s">
        <v>442</v>
      </c>
      <c r="B160" t="s">
        <v>64</v>
      </c>
      <c r="C160">
        <v>26</v>
      </c>
      <c r="D160" t="s">
        <v>20</v>
      </c>
      <c r="E160" t="s">
        <v>34</v>
      </c>
      <c r="F160">
        <v>3</v>
      </c>
      <c r="G160" s="8">
        <v>0</v>
      </c>
      <c r="H160" s="6">
        <f>_xlfn.XLOOKUP(A160,Foglio6!A:A,Foglio6!B:B,0)</f>
        <v>0</v>
      </c>
      <c r="I160">
        <f>SUM(_xlfn.XLOOKUP(A160,Foglio6!A:A,Foglio6!E:E,0),_xlfn.XLOOKUP(A160,Foglio6!A:A,Foglio6!F:F,0))</f>
        <v>0</v>
      </c>
      <c r="J160">
        <v>0</v>
      </c>
      <c r="K160">
        <v>0</v>
      </c>
    </row>
    <row r="161" spans="1:9" x14ac:dyDescent="0.3">
      <c r="A161" t="s">
        <v>448</v>
      </c>
      <c r="B161" t="s">
        <v>55</v>
      </c>
      <c r="C161">
        <v>22</v>
      </c>
      <c r="D161" t="s">
        <v>20</v>
      </c>
      <c r="E161" t="s">
        <v>27</v>
      </c>
      <c r="F161">
        <v>3</v>
      </c>
      <c r="H161" s="6">
        <f>_xlfn.XLOOKUP(A161,Foglio6!A:A,Foglio6!B:B,0)</f>
        <v>0</v>
      </c>
      <c r="I161">
        <f>SUM(_xlfn.XLOOKUP(A161,Foglio6!A:A,Foglio6!E:E,0),_xlfn.XLOOKUP(A161,Foglio6!A:A,Foglio6!F:F,0))</f>
        <v>0</v>
      </c>
    </row>
    <row r="162" spans="1:9" x14ac:dyDescent="0.3">
      <c r="A162" t="s">
        <v>447</v>
      </c>
      <c r="B162" t="s">
        <v>45</v>
      </c>
      <c r="C162">
        <v>28</v>
      </c>
      <c r="D162" t="s">
        <v>20</v>
      </c>
      <c r="E162" t="s">
        <v>27</v>
      </c>
      <c r="F162">
        <v>3</v>
      </c>
      <c r="H162" s="6">
        <f>_xlfn.XLOOKUP(A162,Foglio6!A:A,Foglio6!B:B,0)</f>
        <v>0</v>
      </c>
      <c r="I162">
        <f>SUM(_xlfn.XLOOKUP(A162,Foglio6!A:A,Foglio6!E:E,0),_xlfn.XLOOKUP(A162,Foglio6!A:A,Foglio6!F:F,0))</f>
        <v>0</v>
      </c>
    </row>
    <row r="163" spans="1:9" x14ac:dyDescent="0.3">
      <c r="A163" t="s">
        <v>440</v>
      </c>
      <c r="B163" t="s">
        <v>42</v>
      </c>
      <c r="C163">
        <v>27</v>
      </c>
      <c r="D163" t="s">
        <v>20</v>
      </c>
      <c r="E163" t="s">
        <v>83</v>
      </c>
      <c r="F163">
        <v>3</v>
      </c>
      <c r="H163" s="6">
        <f>_xlfn.XLOOKUP(A163,Foglio6!A:A,Foglio6!B:B,0)</f>
        <v>0</v>
      </c>
      <c r="I163">
        <f>SUM(_xlfn.XLOOKUP(A163,Foglio6!A:A,Foglio6!E:E,0),_xlfn.XLOOKUP(A163,Foglio6!A:A,Foglio6!F:F,0))</f>
        <v>0</v>
      </c>
    </row>
    <row r="164" spans="1:9" x14ac:dyDescent="0.3">
      <c r="A164" t="s">
        <v>451</v>
      </c>
      <c r="B164" t="s">
        <v>25</v>
      </c>
      <c r="C164">
        <v>24</v>
      </c>
      <c r="D164" t="s">
        <v>20</v>
      </c>
      <c r="E164" t="s">
        <v>452</v>
      </c>
      <c r="F164">
        <v>3</v>
      </c>
      <c r="H164" s="6">
        <f>_xlfn.XLOOKUP(A164,Foglio6!A:A,Foglio6!B:B,0)</f>
        <v>0</v>
      </c>
      <c r="I164">
        <f>SUM(_xlfn.XLOOKUP(A164,Foglio6!A:A,Foglio6!E:E,0),_xlfn.XLOOKUP(A164,Foglio6!A:A,Foglio6!F:F,0))</f>
        <v>0</v>
      </c>
    </row>
    <row r="165" spans="1:9" x14ac:dyDescent="0.3">
      <c r="A165" t="s">
        <v>443</v>
      </c>
      <c r="B165" t="s">
        <v>115</v>
      </c>
      <c r="C165">
        <v>22</v>
      </c>
      <c r="D165" t="s">
        <v>20</v>
      </c>
      <c r="E165" t="s">
        <v>27</v>
      </c>
      <c r="F165">
        <v>3</v>
      </c>
      <c r="H165" s="6">
        <f>_xlfn.XLOOKUP(A165,Foglio6!A:A,Foglio6!B:B,0)</f>
        <v>0</v>
      </c>
      <c r="I165">
        <f>SUM(_xlfn.XLOOKUP(A165,Foglio6!A:A,Foglio6!E:E,0),_xlfn.XLOOKUP(A165,Foglio6!A:A,Foglio6!F:F,0))</f>
        <v>0</v>
      </c>
    </row>
    <row r="166" spans="1:9" x14ac:dyDescent="0.3">
      <c r="A166" t="s">
        <v>441</v>
      </c>
      <c r="B166" t="s">
        <v>55</v>
      </c>
      <c r="C166">
        <v>19</v>
      </c>
      <c r="D166" t="s">
        <v>20</v>
      </c>
      <c r="E166" t="s">
        <v>83</v>
      </c>
      <c r="F166">
        <v>3</v>
      </c>
      <c r="H166" s="6">
        <f>_xlfn.XLOOKUP(A166,Foglio6!A:A,Foglio6!B:B,0)</f>
        <v>0</v>
      </c>
      <c r="I166">
        <f>SUM(_xlfn.XLOOKUP(A166,Foglio6!A:A,Foglio6!E:E,0),_xlfn.XLOOKUP(A166,Foglio6!A:A,Foglio6!F:F,0))</f>
        <v>0</v>
      </c>
    </row>
    <row r="167" spans="1:9" x14ac:dyDescent="0.3">
      <c r="A167" t="s">
        <v>444</v>
      </c>
      <c r="B167" t="s">
        <v>74</v>
      </c>
      <c r="C167">
        <v>20</v>
      </c>
      <c r="D167" t="s">
        <v>20</v>
      </c>
      <c r="E167" t="s">
        <v>96</v>
      </c>
      <c r="F167">
        <v>3</v>
      </c>
      <c r="H167" s="6">
        <f>_xlfn.XLOOKUP(A167,Foglio6!A:A,Foglio6!B:B,0)</f>
        <v>0</v>
      </c>
      <c r="I167">
        <f>SUM(_xlfn.XLOOKUP(A167,Foglio6!A:A,Foglio6!E:E,0),_xlfn.XLOOKUP(A167,Foglio6!A:A,Foglio6!F:F,0))</f>
        <v>0</v>
      </c>
    </row>
    <row r="168" spans="1:9" x14ac:dyDescent="0.3">
      <c r="A168" t="s">
        <v>476</v>
      </c>
      <c r="B168" t="s">
        <v>64</v>
      </c>
      <c r="C168">
        <v>25</v>
      </c>
      <c r="D168" t="s">
        <v>20</v>
      </c>
      <c r="E168" t="s">
        <v>23</v>
      </c>
      <c r="F168">
        <v>2</v>
      </c>
      <c r="H168" s="6">
        <f>_xlfn.XLOOKUP(A168,Foglio6!A:A,Foglio6!B:B,0)</f>
        <v>0</v>
      </c>
      <c r="I168">
        <f>SUM(_xlfn.XLOOKUP(A168,Foglio6!A:A,Foglio6!E:E,0),_xlfn.XLOOKUP(A168,Foglio6!A:A,Foglio6!F:F,0))</f>
        <v>0</v>
      </c>
    </row>
    <row r="169" spans="1:9" x14ac:dyDescent="0.3">
      <c r="A169" t="s">
        <v>472</v>
      </c>
      <c r="B169" t="s">
        <v>42</v>
      </c>
      <c r="C169">
        <v>18</v>
      </c>
      <c r="D169" t="s">
        <v>20</v>
      </c>
      <c r="E169" t="s">
        <v>27</v>
      </c>
      <c r="F169">
        <v>2</v>
      </c>
      <c r="H169" s="6">
        <f>_xlfn.XLOOKUP(A169,Foglio6!A:A,Foglio6!B:B,0)</f>
        <v>0</v>
      </c>
      <c r="I169">
        <f>SUM(_xlfn.XLOOKUP(A169,Foglio6!A:A,Foglio6!E:E,0),_xlfn.XLOOKUP(A169,Foglio6!A:A,Foglio6!F:F,0))</f>
        <v>0</v>
      </c>
    </row>
    <row r="170" spans="1:9" x14ac:dyDescent="0.3">
      <c r="A170" t="s">
        <v>473</v>
      </c>
      <c r="B170" t="s">
        <v>115</v>
      </c>
      <c r="C170">
        <v>21</v>
      </c>
      <c r="D170" t="s">
        <v>20</v>
      </c>
      <c r="E170" t="s">
        <v>135</v>
      </c>
      <c r="F170">
        <v>2</v>
      </c>
      <c r="H170" s="6">
        <f>_xlfn.XLOOKUP(A170,Foglio6!A:A,Foglio6!B:B,0)</f>
        <v>0</v>
      </c>
      <c r="I170">
        <f>SUM(_xlfn.XLOOKUP(A170,Foglio6!A:A,Foglio6!E:E,0),_xlfn.XLOOKUP(A170,Foglio6!A:A,Foglio6!F:F,0))</f>
        <v>0</v>
      </c>
    </row>
    <row r="171" spans="1:9" x14ac:dyDescent="0.3">
      <c r="A171" t="s">
        <v>482</v>
      </c>
      <c r="B171" t="s">
        <v>94</v>
      </c>
      <c r="C171">
        <v>33</v>
      </c>
      <c r="D171" t="s">
        <v>20</v>
      </c>
      <c r="E171" t="s">
        <v>20</v>
      </c>
      <c r="F171">
        <v>2</v>
      </c>
      <c r="H171" s="6">
        <f>_xlfn.XLOOKUP(A171,Foglio6!A:A,Foglio6!B:B,0)</f>
        <v>0</v>
      </c>
      <c r="I171">
        <f>SUM(_xlfn.XLOOKUP(A171,Foglio6!A:A,Foglio6!E:E,0),_xlfn.XLOOKUP(A171,Foglio6!A:A,Foglio6!F:F,0))</f>
        <v>0</v>
      </c>
    </row>
    <row r="172" spans="1:9" x14ac:dyDescent="0.3">
      <c r="A172" t="s">
        <v>478</v>
      </c>
      <c r="B172" t="s">
        <v>33</v>
      </c>
      <c r="C172">
        <v>25</v>
      </c>
      <c r="D172" t="s">
        <v>20</v>
      </c>
      <c r="E172" t="s">
        <v>27</v>
      </c>
      <c r="F172">
        <v>2</v>
      </c>
      <c r="H172" s="6">
        <f>_xlfn.XLOOKUP(A172,Foglio6!A:A,Foglio6!B:B,0)</f>
        <v>0</v>
      </c>
      <c r="I172">
        <f>SUM(_xlfn.XLOOKUP(A172,Foglio6!A:A,Foglio6!E:E,0),_xlfn.XLOOKUP(A172,Foglio6!A:A,Foglio6!F:F,0))</f>
        <v>0</v>
      </c>
    </row>
    <row r="173" spans="1:9" x14ac:dyDescent="0.3">
      <c r="A173" t="s">
        <v>477</v>
      </c>
      <c r="B173" t="s">
        <v>19</v>
      </c>
      <c r="C173">
        <v>25</v>
      </c>
      <c r="D173" t="s">
        <v>20</v>
      </c>
      <c r="E173" t="s">
        <v>96</v>
      </c>
      <c r="F173">
        <v>2</v>
      </c>
      <c r="H173" s="6">
        <f>_xlfn.XLOOKUP(A173,Foglio6!A:A,Foglio6!B:B,0)</f>
        <v>0</v>
      </c>
      <c r="I173">
        <f>SUM(_xlfn.XLOOKUP(A173,Foglio6!A:A,Foglio6!E:E,0),_xlfn.XLOOKUP(A173,Foglio6!A:A,Foglio6!F:F,0))</f>
        <v>0</v>
      </c>
    </row>
    <row r="174" spans="1:9" x14ac:dyDescent="0.3">
      <c r="A174" t="s">
        <v>474</v>
      </c>
      <c r="B174" t="s">
        <v>178</v>
      </c>
      <c r="C174">
        <v>21</v>
      </c>
      <c r="D174" t="s">
        <v>20</v>
      </c>
      <c r="E174" t="s">
        <v>27</v>
      </c>
      <c r="F174">
        <v>2</v>
      </c>
      <c r="H174" s="6">
        <f>_xlfn.XLOOKUP(A174,Foglio6!A:A,Foglio6!B:B,0)</f>
        <v>0</v>
      </c>
      <c r="I174">
        <f>SUM(_xlfn.XLOOKUP(A174,Foglio6!A:A,Foglio6!E:E,0),_xlfn.XLOOKUP(A174,Foglio6!A:A,Foglio6!F:F,0))</f>
        <v>0</v>
      </c>
    </row>
    <row r="175" spans="1:9" x14ac:dyDescent="0.3">
      <c r="A175" t="s">
        <v>481</v>
      </c>
      <c r="B175" t="s">
        <v>64</v>
      </c>
      <c r="C175">
        <v>25</v>
      </c>
      <c r="D175" t="s">
        <v>20</v>
      </c>
      <c r="E175" t="s">
        <v>20</v>
      </c>
      <c r="F175">
        <v>2</v>
      </c>
      <c r="H175" s="6">
        <f>_xlfn.XLOOKUP(A175,Foglio6!A:A,Foglio6!B:B,0)</f>
        <v>0</v>
      </c>
      <c r="I175">
        <f>SUM(_xlfn.XLOOKUP(A175,Foglio6!A:A,Foglio6!E:E,0),_xlfn.XLOOKUP(A175,Foglio6!A:A,Foglio6!F:F,0))</f>
        <v>0</v>
      </c>
    </row>
    <row r="176" spans="1:9" x14ac:dyDescent="0.3">
      <c r="A176" t="s">
        <v>479</v>
      </c>
      <c r="B176" t="s">
        <v>42</v>
      </c>
      <c r="C176">
        <v>27</v>
      </c>
      <c r="D176" t="s">
        <v>20</v>
      </c>
      <c r="E176" t="s">
        <v>27</v>
      </c>
      <c r="F176">
        <v>2</v>
      </c>
      <c r="H176" s="6">
        <f>_xlfn.XLOOKUP(A176,Foglio6!A:A,Foglio6!B:B,0)</f>
        <v>0</v>
      </c>
      <c r="I176">
        <f>SUM(_xlfn.XLOOKUP(A176,Foglio6!A:A,Foglio6!E:E,0),_xlfn.XLOOKUP(A176,Foglio6!A:A,Foglio6!F:F,0))</f>
        <v>0</v>
      </c>
    </row>
    <row r="177" spans="1:9" x14ac:dyDescent="0.3">
      <c r="A177" t="s">
        <v>510</v>
      </c>
      <c r="B177" t="s">
        <v>25</v>
      </c>
      <c r="C177">
        <v>18</v>
      </c>
      <c r="D177" t="s">
        <v>20</v>
      </c>
      <c r="E177" t="s">
        <v>27</v>
      </c>
      <c r="F177">
        <v>1</v>
      </c>
      <c r="H177" s="6">
        <f>_xlfn.XLOOKUP(A177,Foglio6!A:A,Foglio6!B:B,0)</f>
        <v>0</v>
      </c>
      <c r="I177">
        <f>SUM(_xlfn.XLOOKUP(A177,Foglio6!A:A,Foglio6!E:E,0),_xlfn.XLOOKUP(A177,Foglio6!A:A,Foglio6!F:F,0))</f>
        <v>0</v>
      </c>
    </row>
    <row r="178" spans="1:9" x14ac:dyDescent="0.3">
      <c r="A178" t="s">
        <v>512</v>
      </c>
      <c r="B178" t="s">
        <v>94</v>
      </c>
      <c r="C178">
        <v>22</v>
      </c>
      <c r="D178" t="s">
        <v>20</v>
      </c>
      <c r="E178" t="s">
        <v>20</v>
      </c>
      <c r="F178">
        <v>1</v>
      </c>
      <c r="H178" s="6">
        <f>_xlfn.XLOOKUP(A178,Foglio6!A:A,Foglio6!B:B,0)</f>
        <v>0</v>
      </c>
      <c r="I178">
        <f>SUM(_xlfn.XLOOKUP(A178,Foglio6!A:A,Foglio6!E:E,0),_xlfn.XLOOKUP(A178,Foglio6!A:A,Foglio6!F:F,0))</f>
        <v>0</v>
      </c>
    </row>
    <row r="179" spans="1:9" x14ac:dyDescent="0.3">
      <c r="A179" t="s">
        <v>514</v>
      </c>
      <c r="B179" t="s">
        <v>178</v>
      </c>
      <c r="C179">
        <v>23</v>
      </c>
      <c r="D179" t="s">
        <v>20</v>
      </c>
      <c r="E179" t="s">
        <v>27</v>
      </c>
      <c r="F179">
        <v>1</v>
      </c>
      <c r="H179" s="6">
        <f>_xlfn.XLOOKUP(A179,Foglio6!A:A,Foglio6!B:B,0)</f>
        <v>0</v>
      </c>
      <c r="I179">
        <f>SUM(_xlfn.XLOOKUP(A179,Foglio6!A:A,Foglio6!E:E,0),_xlfn.XLOOKUP(A179,Foglio6!A:A,Foglio6!F:F,0))</f>
        <v>0</v>
      </c>
    </row>
    <row r="180" spans="1:9" x14ac:dyDescent="0.3">
      <c r="A180" t="s">
        <v>516</v>
      </c>
      <c r="B180" t="s">
        <v>45</v>
      </c>
      <c r="C180">
        <v>25</v>
      </c>
      <c r="D180" t="s">
        <v>20</v>
      </c>
      <c r="E180" t="s">
        <v>27</v>
      </c>
      <c r="F180">
        <v>1</v>
      </c>
      <c r="H180" s="6">
        <f>_xlfn.XLOOKUP(A180,Foglio6!A:A,Foglio6!B:B,0)</f>
        <v>0</v>
      </c>
      <c r="I180">
        <f>SUM(_xlfn.XLOOKUP(A180,Foglio6!A:A,Foglio6!E:E,0),_xlfn.XLOOKUP(A180,Foglio6!A:A,Foglio6!F:F,0))</f>
        <v>0</v>
      </c>
    </row>
    <row r="181" spans="1:9" x14ac:dyDescent="0.3">
      <c r="A181" t="s">
        <v>518</v>
      </c>
      <c r="B181" t="s">
        <v>178</v>
      </c>
      <c r="C181">
        <v>25</v>
      </c>
      <c r="D181" t="s">
        <v>20</v>
      </c>
      <c r="E181" t="s">
        <v>27</v>
      </c>
      <c r="F181">
        <v>1</v>
      </c>
      <c r="H181" s="6">
        <f>_xlfn.XLOOKUP(A181,Foglio6!A:A,Foglio6!B:B,0)</f>
        <v>0</v>
      </c>
      <c r="I181">
        <f>SUM(_xlfn.XLOOKUP(A181,Foglio6!A:A,Foglio6!E:E,0),_xlfn.XLOOKUP(A181,Foglio6!A:A,Foglio6!F:F,0))</f>
        <v>0</v>
      </c>
    </row>
    <row r="182" spans="1:9" x14ac:dyDescent="0.3">
      <c r="A182" t="s">
        <v>511</v>
      </c>
      <c r="B182" t="s">
        <v>178</v>
      </c>
      <c r="C182">
        <v>19</v>
      </c>
      <c r="D182" t="s">
        <v>20</v>
      </c>
      <c r="E182" t="s">
        <v>34</v>
      </c>
      <c r="F182">
        <v>1</v>
      </c>
      <c r="H182" s="6">
        <f>_xlfn.XLOOKUP(A182,Foglio6!A:A,Foglio6!B:B,0)</f>
        <v>0</v>
      </c>
      <c r="I182">
        <f>SUM(_xlfn.XLOOKUP(A182,Foglio6!A:A,Foglio6!E:E,0),_xlfn.XLOOKUP(A182,Foglio6!A:A,Foglio6!F:F,0))</f>
        <v>0</v>
      </c>
    </row>
    <row r="183" spans="1:9" x14ac:dyDescent="0.3">
      <c r="A183" t="s">
        <v>513</v>
      </c>
      <c r="B183" t="s">
        <v>19</v>
      </c>
      <c r="C183">
        <v>19</v>
      </c>
      <c r="D183" t="s">
        <v>20</v>
      </c>
      <c r="E183" t="s">
        <v>23</v>
      </c>
      <c r="F183">
        <v>1</v>
      </c>
      <c r="H183" s="6">
        <f>_xlfn.XLOOKUP(A183,Foglio6!A:A,Foglio6!B:B,0)</f>
        <v>0</v>
      </c>
      <c r="I183">
        <f>SUM(_xlfn.XLOOKUP(A183,Foglio6!A:A,Foglio6!E:E,0),_xlfn.XLOOKUP(A183,Foglio6!A:A,Foglio6!F:F,0))</f>
        <v>0</v>
      </c>
    </row>
    <row r="184" spans="1:9" x14ac:dyDescent="0.3">
      <c r="A184" t="s">
        <v>515</v>
      </c>
      <c r="B184" t="s">
        <v>104</v>
      </c>
      <c r="C184">
        <v>20</v>
      </c>
      <c r="D184" t="s">
        <v>20</v>
      </c>
      <c r="E184" t="s">
        <v>27</v>
      </c>
      <c r="F184">
        <v>1</v>
      </c>
      <c r="H184" s="6">
        <f>_xlfn.XLOOKUP(A184,Foglio6!A:A,Foglio6!B:B,0)</f>
        <v>0</v>
      </c>
      <c r="I184">
        <f>SUM(_xlfn.XLOOKUP(A184,Foglio6!A:A,Foglio6!E:E,0),_xlfn.XLOOKUP(A184,Foglio6!A:A,Foglio6!F:F,0))</f>
        <v>0</v>
      </c>
    </row>
  </sheetData>
  <sortState xmlns:xlrd2="http://schemas.microsoft.com/office/spreadsheetml/2017/richdata2" ref="A3:L184">
    <sortCondition descending="1" ref="H3:H18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10D8-EE78-4839-B72B-5B253FB4D653}">
  <dimension ref="A1:M88"/>
  <sheetViews>
    <sheetView workbookViewId="0">
      <selection sqref="A1:H60"/>
    </sheetView>
  </sheetViews>
  <sheetFormatPr defaultRowHeight="14.4" x14ac:dyDescent="0.3"/>
  <cols>
    <col min="1" max="1" width="18" customWidth="1"/>
    <col min="6" max="6" width="8.88671875" customWidth="1"/>
    <col min="7" max="7" width="0.88671875" style="8" customWidth="1"/>
    <col min="8" max="8" width="8.88671875" style="6"/>
    <col min="11" max="11" width="26.33203125" customWidth="1"/>
    <col min="12" max="12" width="0.6640625" customWidth="1"/>
    <col min="13" max="13" width="29.21875" customWidth="1"/>
  </cols>
  <sheetData>
    <row r="1" spans="1:13" x14ac:dyDescent="0.3">
      <c r="A1" t="s">
        <v>93</v>
      </c>
      <c r="B1" t="s">
        <v>94</v>
      </c>
      <c r="C1">
        <v>26</v>
      </c>
      <c r="D1" t="s">
        <v>8</v>
      </c>
      <c r="E1" t="s">
        <v>9</v>
      </c>
      <c r="F1">
        <v>26</v>
      </c>
      <c r="G1" s="8">
        <v>0</v>
      </c>
      <c r="H1" s="6">
        <f>_xlfn.XLOOKUP(A1,Foglio6!A:A,Foglio6!B:B,0)</f>
        <v>19</v>
      </c>
      <c r="K1" s="11" t="s">
        <v>692</v>
      </c>
      <c r="M1" s="12" t="s">
        <v>702</v>
      </c>
    </row>
    <row r="2" spans="1:13" x14ac:dyDescent="0.3">
      <c r="A2" t="s">
        <v>148</v>
      </c>
      <c r="B2" t="s">
        <v>64</v>
      </c>
      <c r="C2">
        <v>30</v>
      </c>
      <c r="D2" t="s">
        <v>8</v>
      </c>
      <c r="E2" t="s">
        <v>8</v>
      </c>
      <c r="F2">
        <v>16</v>
      </c>
      <c r="G2" s="8">
        <v>0</v>
      </c>
      <c r="H2" s="6">
        <f>_xlfn.XLOOKUP(A2,Foglio6!A:A,Foglio6!B:B,0)</f>
        <v>2</v>
      </c>
      <c r="K2" s="11" t="s">
        <v>693</v>
      </c>
      <c r="M2" s="12" t="s">
        <v>703</v>
      </c>
    </row>
    <row r="3" spans="1:13" x14ac:dyDescent="0.3">
      <c r="A3" s="10" t="s">
        <v>41</v>
      </c>
      <c r="B3" s="10" t="s">
        <v>42</v>
      </c>
      <c r="C3" s="10">
        <v>28</v>
      </c>
      <c r="D3" s="10" t="s">
        <v>8</v>
      </c>
      <c r="E3" s="10" t="s">
        <v>9</v>
      </c>
      <c r="F3" s="10">
        <v>61</v>
      </c>
      <c r="G3" s="8">
        <v>0</v>
      </c>
      <c r="H3" s="6">
        <f>_xlfn.XLOOKUP(A3,Foglio6!A:A,Foglio6!B:B,0)</f>
        <v>19</v>
      </c>
      <c r="K3" s="11" t="s">
        <v>694</v>
      </c>
      <c r="M3" s="12" t="s">
        <v>704</v>
      </c>
    </row>
    <row r="4" spans="1:13" x14ac:dyDescent="0.3">
      <c r="A4" s="10" t="s">
        <v>63</v>
      </c>
      <c r="B4" s="10" t="s">
        <v>64</v>
      </c>
      <c r="C4" s="10">
        <v>31</v>
      </c>
      <c r="D4" s="10" t="s">
        <v>8</v>
      </c>
      <c r="E4" s="10" t="s">
        <v>9</v>
      </c>
      <c r="F4" s="10">
        <v>41</v>
      </c>
      <c r="H4" s="6">
        <f>_xlfn.XLOOKUP(A4,Foglio6!A:A,Foglio6!B:B,0)</f>
        <v>19</v>
      </c>
      <c r="K4" s="11" t="s">
        <v>695</v>
      </c>
      <c r="M4" s="12" t="s">
        <v>705</v>
      </c>
    </row>
    <row r="5" spans="1:13" x14ac:dyDescent="0.3">
      <c r="A5" s="10" t="s">
        <v>6</v>
      </c>
      <c r="B5" s="10" t="s">
        <v>7</v>
      </c>
      <c r="C5" s="10">
        <v>29</v>
      </c>
      <c r="D5" s="10" t="s">
        <v>8</v>
      </c>
      <c r="E5" s="10" t="s">
        <v>9</v>
      </c>
      <c r="F5" s="10">
        <v>185</v>
      </c>
      <c r="G5" s="8">
        <v>0</v>
      </c>
      <c r="H5" s="6">
        <f>_xlfn.XLOOKUP(A5,Foglio6!A:A,Foglio6!B:B,0)</f>
        <v>18</v>
      </c>
      <c r="K5" s="11" t="s">
        <v>696</v>
      </c>
      <c r="M5" s="12" t="s">
        <v>706</v>
      </c>
    </row>
    <row r="6" spans="1:13" x14ac:dyDescent="0.3">
      <c r="A6" s="10" t="s">
        <v>10</v>
      </c>
      <c r="B6" s="10" t="s">
        <v>11</v>
      </c>
      <c r="C6" s="10">
        <v>27</v>
      </c>
      <c r="D6" s="10" t="s">
        <v>8</v>
      </c>
      <c r="E6" s="10" t="s">
        <v>9</v>
      </c>
      <c r="F6" s="10">
        <v>183</v>
      </c>
      <c r="G6" s="8">
        <v>0</v>
      </c>
      <c r="H6" s="6">
        <f>_xlfn.XLOOKUP(A6,Foglio6!A:A,Foglio6!B:B,0)</f>
        <v>18</v>
      </c>
      <c r="K6" s="11" t="s">
        <v>697</v>
      </c>
      <c r="M6" s="12"/>
    </row>
    <row r="7" spans="1:13" x14ac:dyDescent="0.3">
      <c r="A7" s="10" t="s">
        <v>13</v>
      </c>
      <c r="B7" s="10" t="s">
        <v>14</v>
      </c>
      <c r="C7" s="10">
        <v>23</v>
      </c>
      <c r="D7" s="10" t="s">
        <v>8</v>
      </c>
      <c r="E7" s="10" t="s">
        <v>9</v>
      </c>
      <c r="F7" s="10">
        <v>136</v>
      </c>
      <c r="G7" s="8">
        <v>0</v>
      </c>
      <c r="H7" s="6">
        <f>_xlfn.XLOOKUP(A7,Foglio6!A:A,Foglio6!B:B,0)</f>
        <v>18</v>
      </c>
      <c r="K7" s="11" t="s">
        <v>698</v>
      </c>
      <c r="M7" s="12"/>
    </row>
    <row r="8" spans="1:13" x14ac:dyDescent="0.3">
      <c r="A8" s="10" t="s">
        <v>24</v>
      </c>
      <c r="B8" s="10" t="s">
        <v>25</v>
      </c>
      <c r="C8" s="10">
        <v>25</v>
      </c>
      <c r="D8" s="10" t="s">
        <v>8</v>
      </c>
      <c r="E8" s="10" t="s">
        <v>9</v>
      </c>
      <c r="F8" s="10">
        <v>116</v>
      </c>
      <c r="G8" s="8">
        <v>0</v>
      </c>
      <c r="H8" s="6">
        <f>_xlfn.XLOOKUP(A8,Foglio6!A:A,Foglio6!B:B,0)</f>
        <v>18</v>
      </c>
      <c r="K8" s="11" t="s">
        <v>699</v>
      </c>
      <c r="M8" s="12"/>
    </row>
    <row r="9" spans="1:13" x14ac:dyDescent="0.3">
      <c r="A9" s="10" t="s">
        <v>28</v>
      </c>
      <c r="B9" s="10" t="s">
        <v>29</v>
      </c>
      <c r="C9" s="10">
        <v>28</v>
      </c>
      <c r="D9" s="10" t="s">
        <v>8</v>
      </c>
      <c r="E9" s="10" t="s">
        <v>9</v>
      </c>
      <c r="F9" s="10">
        <v>113</v>
      </c>
      <c r="G9" s="8">
        <v>0</v>
      </c>
      <c r="H9" s="6">
        <f>_xlfn.XLOOKUP(A9,Foglio6!A:A,Foglio6!B:B,0)</f>
        <v>18</v>
      </c>
      <c r="K9" s="11" t="s">
        <v>700</v>
      </c>
      <c r="M9" s="12"/>
    </row>
    <row r="10" spans="1:13" x14ac:dyDescent="0.3">
      <c r="A10" s="10" t="s">
        <v>37</v>
      </c>
      <c r="B10" s="10" t="s">
        <v>19</v>
      </c>
      <c r="C10" s="10">
        <v>27</v>
      </c>
      <c r="D10" s="10" t="s">
        <v>8</v>
      </c>
      <c r="E10" s="10" t="s">
        <v>9</v>
      </c>
      <c r="F10" s="10">
        <v>79</v>
      </c>
      <c r="G10" s="8">
        <v>0</v>
      </c>
      <c r="H10" s="6">
        <f>_xlfn.XLOOKUP(A10,Foglio6!A:A,Foglio6!B:B,0)</f>
        <v>18</v>
      </c>
      <c r="K10" s="11" t="s">
        <v>701</v>
      </c>
      <c r="M10" s="12"/>
    </row>
    <row r="11" spans="1:13" x14ac:dyDescent="0.3">
      <c r="A11" t="s">
        <v>44</v>
      </c>
      <c r="B11" t="s">
        <v>45</v>
      </c>
      <c r="C11">
        <v>32</v>
      </c>
      <c r="D11" t="s">
        <v>8</v>
      </c>
      <c r="E11" t="s">
        <v>8</v>
      </c>
      <c r="F11">
        <v>58</v>
      </c>
      <c r="G11" s="8">
        <v>0</v>
      </c>
      <c r="H11" s="6">
        <f>_xlfn.XLOOKUP(A11,Foglio6!A:A,Foglio6!B:B,0)</f>
        <v>18</v>
      </c>
    </row>
    <row r="12" spans="1:13" x14ac:dyDescent="0.3">
      <c r="A12" t="s">
        <v>57</v>
      </c>
      <c r="B12" t="s">
        <v>45</v>
      </c>
      <c r="C12">
        <v>28</v>
      </c>
      <c r="D12" t="s">
        <v>8</v>
      </c>
      <c r="E12" t="s">
        <v>8</v>
      </c>
      <c r="F12">
        <v>44</v>
      </c>
      <c r="G12" s="8">
        <v>0</v>
      </c>
      <c r="H12" s="6">
        <f>_xlfn.XLOOKUP(A12,Foglio6!A:A,Foglio6!B:B,0)</f>
        <v>18</v>
      </c>
      <c r="K12" s="14"/>
      <c r="M12" s="13"/>
    </row>
    <row r="13" spans="1:13" x14ac:dyDescent="0.3">
      <c r="A13" t="s">
        <v>73</v>
      </c>
      <c r="B13" t="s">
        <v>74</v>
      </c>
      <c r="C13">
        <v>24</v>
      </c>
      <c r="D13" t="s">
        <v>8</v>
      </c>
      <c r="E13" t="s">
        <v>9</v>
      </c>
      <c r="F13">
        <v>32</v>
      </c>
      <c r="H13" s="6">
        <f>_xlfn.XLOOKUP(A13,Foglio6!A:A,Foglio6!B:B,0)</f>
        <v>18</v>
      </c>
      <c r="K13" s="14"/>
      <c r="M13" s="13"/>
    </row>
    <row r="14" spans="1:13" x14ac:dyDescent="0.3">
      <c r="A14" t="s">
        <v>193</v>
      </c>
      <c r="B14" t="s">
        <v>157</v>
      </c>
      <c r="C14">
        <v>22</v>
      </c>
      <c r="D14" t="s">
        <v>8</v>
      </c>
      <c r="E14" t="s">
        <v>9</v>
      </c>
      <c r="F14">
        <v>12</v>
      </c>
      <c r="H14" s="6">
        <f>_xlfn.XLOOKUP(A14,Foglio6!A:A,Foglio6!B:B,0)</f>
        <v>18</v>
      </c>
      <c r="K14" s="14"/>
      <c r="M14" s="13"/>
    </row>
    <row r="15" spans="1:13" x14ac:dyDescent="0.3">
      <c r="A15" t="s">
        <v>208</v>
      </c>
      <c r="B15" t="s">
        <v>104</v>
      </c>
      <c r="C15">
        <v>25</v>
      </c>
      <c r="D15" t="s">
        <v>8</v>
      </c>
      <c r="E15" t="s">
        <v>21</v>
      </c>
      <c r="F15">
        <v>11</v>
      </c>
      <c r="H15" s="6">
        <f>_xlfn.XLOOKUP(A15,Foglio6!A:A,Foglio6!B:B,0)</f>
        <v>18</v>
      </c>
      <c r="K15" s="14"/>
      <c r="M15" s="13"/>
    </row>
    <row r="16" spans="1:13" x14ac:dyDescent="0.3">
      <c r="A16" s="10" t="s">
        <v>12</v>
      </c>
      <c r="B16" s="10" t="s">
        <v>7</v>
      </c>
      <c r="C16" s="10">
        <v>29</v>
      </c>
      <c r="D16" s="10" t="s">
        <v>8</v>
      </c>
      <c r="E16" s="10" t="s">
        <v>9</v>
      </c>
      <c r="F16" s="10">
        <v>140</v>
      </c>
      <c r="G16" s="8">
        <v>0</v>
      </c>
      <c r="H16" s="6">
        <f>_xlfn.XLOOKUP(A16,Foglio6!A:A,Foglio6!B:B,0)</f>
        <v>17</v>
      </c>
      <c r="K16" s="14"/>
      <c r="M16" s="13"/>
    </row>
    <row r="17" spans="1:13" x14ac:dyDescent="0.3">
      <c r="A17" s="10" t="s">
        <v>35</v>
      </c>
      <c r="B17" s="10" t="s">
        <v>29</v>
      </c>
      <c r="C17" s="10">
        <v>21</v>
      </c>
      <c r="D17" s="10" t="s">
        <v>8</v>
      </c>
      <c r="E17" s="10" t="s">
        <v>8</v>
      </c>
      <c r="F17" s="10">
        <v>96</v>
      </c>
      <c r="G17" s="8">
        <v>0</v>
      </c>
      <c r="H17" s="6">
        <f>_xlfn.XLOOKUP(A17,Foglio6!A:A,Foglio6!B:B,0)</f>
        <v>17</v>
      </c>
      <c r="K17" s="14"/>
      <c r="M17" s="13"/>
    </row>
    <row r="18" spans="1:13" x14ac:dyDescent="0.3">
      <c r="A18" s="10" t="s">
        <v>46</v>
      </c>
      <c r="B18" s="10" t="s">
        <v>39</v>
      </c>
      <c r="C18" s="10">
        <v>25</v>
      </c>
      <c r="D18" s="10" t="s">
        <v>8</v>
      </c>
      <c r="E18" s="10" t="s">
        <v>8</v>
      </c>
      <c r="F18" s="10">
        <v>53</v>
      </c>
      <c r="G18" s="8">
        <v>0</v>
      </c>
      <c r="H18" s="6">
        <f>_xlfn.XLOOKUP(A18,Foglio6!A:A,Foglio6!B:B,0)</f>
        <v>17</v>
      </c>
      <c r="K18" s="14"/>
      <c r="M18" s="13"/>
    </row>
    <row r="19" spans="1:13" x14ac:dyDescent="0.3">
      <c r="A19" t="s">
        <v>81</v>
      </c>
      <c r="B19" t="s">
        <v>14</v>
      </c>
      <c r="C19">
        <v>24</v>
      </c>
      <c r="D19" t="s">
        <v>8</v>
      </c>
      <c r="E19" t="s">
        <v>34</v>
      </c>
      <c r="F19">
        <v>29</v>
      </c>
      <c r="H19" s="6">
        <f>_xlfn.XLOOKUP(A19,Foglio6!A:A,Foglio6!B:B,0)</f>
        <v>17</v>
      </c>
      <c r="K19" s="14"/>
      <c r="M19" s="13"/>
    </row>
    <row r="20" spans="1:13" x14ac:dyDescent="0.3">
      <c r="A20" t="s">
        <v>114</v>
      </c>
      <c r="B20" t="s">
        <v>115</v>
      </c>
      <c r="C20">
        <v>25</v>
      </c>
      <c r="D20" t="s">
        <v>8</v>
      </c>
      <c r="E20" t="s">
        <v>9</v>
      </c>
      <c r="F20">
        <v>22</v>
      </c>
      <c r="H20" s="6">
        <f>_xlfn.XLOOKUP(A20,Foglio6!A:A,Foglio6!B:B,0)</f>
        <v>17</v>
      </c>
      <c r="K20" s="14"/>
      <c r="M20" s="13"/>
    </row>
    <row r="21" spans="1:13" x14ac:dyDescent="0.3">
      <c r="A21" t="s">
        <v>141</v>
      </c>
      <c r="B21" t="s">
        <v>142</v>
      </c>
      <c r="C21">
        <v>28</v>
      </c>
      <c r="D21" t="s">
        <v>8</v>
      </c>
      <c r="E21" t="s">
        <v>9</v>
      </c>
      <c r="F21">
        <v>17</v>
      </c>
      <c r="H21" s="6">
        <f>_xlfn.XLOOKUP(A21,Foglio6!A:A,Foglio6!B:B,0)</f>
        <v>17</v>
      </c>
      <c r="K21" s="14"/>
      <c r="M21" s="13"/>
    </row>
    <row r="22" spans="1:13" x14ac:dyDescent="0.3">
      <c r="A22" s="10" t="s">
        <v>30</v>
      </c>
      <c r="B22" s="10" t="s">
        <v>31</v>
      </c>
      <c r="C22" s="10">
        <v>26</v>
      </c>
      <c r="D22" s="10" t="s">
        <v>8</v>
      </c>
      <c r="E22" s="10" t="s">
        <v>9</v>
      </c>
      <c r="F22" s="10">
        <v>100</v>
      </c>
      <c r="G22" s="8">
        <v>0</v>
      </c>
      <c r="H22" s="6">
        <f>_xlfn.XLOOKUP(A22,Foglio6!A:A,Foglio6!B:B,0)</f>
        <v>16</v>
      </c>
    </row>
    <row r="23" spans="1:13" x14ac:dyDescent="0.3">
      <c r="A23" s="10" t="s">
        <v>68</v>
      </c>
      <c r="B23" s="10" t="s">
        <v>11</v>
      </c>
      <c r="C23" s="10">
        <v>33</v>
      </c>
      <c r="D23" s="10" t="s">
        <v>8</v>
      </c>
      <c r="E23" s="10" t="s">
        <v>8</v>
      </c>
      <c r="F23" s="10">
        <v>34</v>
      </c>
      <c r="H23" s="6">
        <f>_xlfn.XLOOKUP(A23,Foglio6!A:A,Foglio6!B:B,0)</f>
        <v>16</v>
      </c>
      <c r="K23" s="4"/>
      <c r="M23" s="15"/>
    </row>
    <row r="24" spans="1:13" x14ac:dyDescent="0.3">
      <c r="A24" t="s">
        <v>164</v>
      </c>
      <c r="B24" t="s">
        <v>94</v>
      </c>
      <c r="C24">
        <v>26</v>
      </c>
      <c r="D24" t="s">
        <v>8</v>
      </c>
      <c r="E24" t="s">
        <v>8</v>
      </c>
      <c r="F24">
        <v>14</v>
      </c>
      <c r="H24" s="6">
        <f>_xlfn.XLOOKUP(A24,Foglio6!A:A,Foglio6!B:B,0)</f>
        <v>16</v>
      </c>
      <c r="K24" s="4"/>
      <c r="M24" s="15"/>
    </row>
    <row r="25" spans="1:13" x14ac:dyDescent="0.3">
      <c r="A25" t="s">
        <v>219</v>
      </c>
      <c r="B25" t="s">
        <v>74</v>
      </c>
      <c r="C25">
        <v>26</v>
      </c>
      <c r="D25" t="s">
        <v>8</v>
      </c>
      <c r="E25" t="s">
        <v>8</v>
      </c>
      <c r="F25">
        <v>10</v>
      </c>
      <c r="H25" s="6">
        <f>_xlfn.XLOOKUP(A25,Foglio6!A:A,Foglio6!B:B,0)</f>
        <v>16</v>
      </c>
      <c r="K25" s="4"/>
      <c r="M25" s="15"/>
    </row>
    <row r="26" spans="1:13" x14ac:dyDescent="0.3">
      <c r="A26" t="s">
        <v>373</v>
      </c>
      <c r="B26" t="s">
        <v>178</v>
      </c>
      <c r="C26">
        <v>26</v>
      </c>
      <c r="D26" t="s">
        <v>8</v>
      </c>
      <c r="E26" t="s">
        <v>34</v>
      </c>
      <c r="F26">
        <v>5</v>
      </c>
      <c r="H26" s="6">
        <f>_xlfn.XLOOKUP(A26,Foglio6!A:A,Foglio6!B:B,0)</f>
        <v>16</v>
      </c>
      <c r="K26" s="4"/>
      <c r="M26" s="15"/>
    </row>
    <row r="27" spans="1:13" x14ac:dyDescent="0.3">
      <c r="A27" t="s">
        <v>77</v>
      </c>
      <c r="B27" t="s">
        <v>39</v>
      </c>
      <c r="C27">
        <v>26</v>
      </c>
      <c r="D27" t="s">
        <v>8</v>
      </c>
      <c r="E27" t="s">
        <v>8</v>
      </c>
      <c r="F27">
        <v>31</v>
      </c>
      <c r="H27" s="6">
        <f>_xlfn.XLOOKUP(A27,Foglio6!A:A,Foglio6!B:B,0)</f>
        <v>15</v>
      </c>
      <c r="K27" s="4"/>
      <c r="M27" s="15"/>
    </row>
    <row r="28" spans="1:13" x14ac:dyDescent="0.3">
      <c r="A28" t="s">
        <v>98</v>
      </c>
      <c r="B28" t="s">
        <v>19</v>
      </c>
      <c r="C28">
        <v>21</v>
      </c>
      <c r="D28" t="s">
        <v>8</v>
      </c>
      <c r="E28" t="s">
        <v>34</v>
      </c>
      <c r="F28">
        <v>25</v>
      </c>
      <c r="H28" s="6">
        <f>_xlfn.XLOOKUP(A28,Foglio6!A:A,Foglio6!B:B,0)</f>
        <v>15</v>
      </c>
      <c r="K28" s="4"/>
      <c r="M28" s="15"/>
    </row>
    <row r="29" spans="1:13" x14ac:dyDescent="0.3">
      <c r="A29" t="s">
        <v>177</v>
      </c>
      <c r="B29" t="s">
        <v>178</v>
      </c>
      <c r="C29">
        <v>25</v>
      </c>
      <c r="D29" t="s">
        <v>8</v>
      </c>
      <c r="E29" t="s">
        <v>9</v>
      </c>
      <c r="F29">
        <v>13</v>
      </c>
      <c r="H29" s="6">
        <f>_xlfn.XLOOKUP(A29,Foglio6!A:A,Foglio6!B:B,0)</f>
        <v>15</v>
      </c>
      <c r="K29" s="4"/>
      <c r="M29" s="15"/>
    </row>
    <row r="30" spans="1:13" x14ac:dyDescent="0.3">
      <c r="A30" s="10" t="s">
        <v>38</v>
      </c>
      <c r="B30" s="10" t="s">
        <v>39</v>
      </c>
      <c r="C30" s="10">
        <v>27</v>
      </c>
      <c r="D30" s="10" t="s">
        <v>8</v>
      </c>
      <c r="E30" s="10" t="s">
        <v>9</v>
      </c>
      <c r="F30" s="10">
        <v>66</v>
      </c>
      <c r="G30" s="8">
        <v>0</v>
      </c>
      <c r="H30" s="6">
        <f>_xlfn.XLOOKUP(A30,Foglio6!A:A,Foglio6!B:B,0)</f>
        <v>14.5</v>
      </c>
      <c r="K30" s="4"/>
      <c r="M30" s="15"/>
    </row>
    <row r="31" spans="1:13" x14ac:dyDescent="0.3">
      <c r="A31" s="10" t="s">
        <v>43</v>
      </c>
      <c r="B31" s="10" t="s">
        <v>25</v>
      </c>
      <c r="C31" s="10">
        <v>27</v>
      </c>
      <c r="D31" s="10" t="s">
        <v>8</v>
      </c>
      <c r="E31" s="10" t="s">
        <v>8</v>
      </c>
      <c r="F31" s="10">
        <v>60</v>
      </c>
      <c r="G31" s="8">
        <v>0</v>
      </c>
      <c r="H31" s="6">
        <f>_xlfn.XLOOKUP(A31,Foglio6!A:A,Foglio6!B:B,0)</f>
        <v>14</v>
      </c>
      <c r="K31" s="4"/>
      <c r="M31" s="15"/>
    </row>
    <row r="32" spans="1:13" x14ac:dyDescent="0.3">
      <c r="A32" t="s">
        <v>67</v>
      </c>
      <c r="B32" t="s">
        <v>33</v>
      </c>
      <c r="C32">
        <v>29</v>
      </c>
      <c r="D32" t="s">
        <v>8</v>
      </c>
      <c r="E32" t="s">
        <v>9</v>
      </c>
      <c r="F32">
        <v>37</v>
      </c>
      <c r="H32" s="6">
        <f>_xlfn.XLOOKUP(A32,Foglio6!A:A,Foglio6!B:B,0)</f>
        <v>13.5</v>
      </c>
      <c r="K32" s="4"/>
      <c r="M32" s="15"/>
    </row>
    <row r="33" spans="1:8" x14ac:dyDescent="0.3">
      <c r="A33" t="s">
        <v>240</v>
      </c>
      <c r="B33" t="s">
        <v>142</v>
      </c>
      <c r="C33">
        <v>28</v>
      </c>
      <c r="D33" t="s">
        <v>8</v>
      </c>
      <c r="E33" t="s">
        <v>8</v>
      </c>
      <c r="F33">
        <v>9</v>
      </c>
      <c r="H33" s="6">
        <f>_xlfn.XLOOKUP(A33,Foglio6!A:A,Foglio6!B:B,0)</f>
        <v>13.5</v>
      </c>
    </row>
    <row r="34" spans="1:8" x14ac:dyDescent="0.3">
      <c r="A34" t="s">
        <v>84</v>
      </c>
      <c r="B34" t="s">
        <v>45</v>
      </c>
      <c r="C34">
        <v>27</v>
      </c>
      <c r="D34" t="s">
        <v>8</v>
      </c>
      <c r="E34" t="s">
        <v>9</v>
      </c>
      <c r="F34">
        <v>28</v>
      </c>
      <c r="H34" s="6">
        <f>_xlfn.XLOOKUP(A34,Foglio6!A:A,Foglio6!B:B,0)</f>
        <v>13</v>
      </c>
    </row>
    <row r="35" spans="1:8" x14ac:dyDescent="0.3">
      <c r="A35" t="s">
        <v>132</v>
      </c>
      <c r="B35" t="s">
        <v>115</v>
      </c>
      <c r="C35">
        <v>23</v>
      </c>
      <c r="D35" t="s">
        <v>8</v>
      </c>
      <c r="E35" t="s">
        <v>9</v>
      </c>
      <c r="F35">
        <v>19</v>
      </c>
      <c r="H35" s="6">
        <f>_xlfn.XLOOKUP(A35,Foglio6!A:A,Foglio6!B:B,0)</f>
        <v>13</v>
      </c>
    </row>
    <row r="36" spans="1:8" x14ac:dyDescent="0.3">
      <c r="A36" t="s">
        <v>156</v>
      </c>
      <c r="B36" t="s">
        <v>157</v>
      </c>
      <c r="C36">
        <v>24</v>
      </c>
      <c r="D36" t="s">
        <v>8</v>
      </c>
      <c r="E36" t="s">
        <v>34</v>
      </c>
      <c r="F36">
        <v>15</v>
      </c>
      <c r="H36" s="6">
        <f>_xlfn.XLOOKUP(A36,Foglio6!A:A,Foglio6!B:B,0)</f>
        <v>13</v>
      </c>
    </row>
    <row r="37" spans="1:8" x14ac:dyDescent="0.3">
      <c r="A37" t="s">
        <v>261</v>
      </c>
      <c r="B37" t="s">
        <v>157</v>
      </c>
      <c r="C37">
        <v>23</v>
      </c>
      <c r="D37" t="s">
        <v>8</v>
      </c>
      <c r="E37" t="s">
        <v>34</v>
      </c>
      <c r="F37">
        <v>8</v>
      </c>
      <c r="H37" s="6">
        <f>_xlfn.XLOOKUP(A37,Foglio6!A:A,Foglio6!B:B,0)</f>
        <v>12</v>
      </c>
    </row>
    <row r="38" spans="1:8" x14ac:dyDescent="0.3">
      <c r="A38" t="s">
        <v>284</v>
      </c>
      <c r="B38" t="s">
        <v>115</v>
      </c>
      <c r="C38">
        <v>23</v>
      </c>
      <c r="D38" t="s">
        <v>8</v>
      </c>
      <c r="E38" t="s">
        <v>8</v>
      </c>
      <c r="F38">
        <v>7</v>
      </c>
      <c r="H38" s="6">
        <f>_xlfn.XLOOKUP(A38,Foglio6!A:A,Foglio6!B:B,0)</f>
        <v>12</v>
      </c>
    </row>
    <row r="39" spans="1:8" x14ac:dyDescent="0.3">
      <c r="A39" t="s">
        <v>103</v>
      </c>
      <c r="B39" t="s">
        <v>104</v>
      </c>
      <c r="C39">
        <v>25</v>
      </c>
      <c r="D39" t="s">
        <v>8</v>
      </c>
      <c r="E39" t="s">
        <v>9</v>
      </c>
      <c r="F39">
        <v>24</v>
      </c>
      <c r="H39" s="6">
        <f>_xlfn.XLOOKUP(A39,Foglio6!A:A,Foglio6!B:B,0)</f>
        <v>11</v>
      </c>
    </row>
    <row r="40" spans="1:8" x14ac:dyDescent="0.3">
      <c r="A40" t="s">
        <v>149</v>
      </c>
      <c r="B40" t="s">
        <v>55</v>
      </c>
      <c r="C40">
        <v>30</v>
      </c>
      <c r="D40" t="s">
        <v>8</v>
      </c>
      <c r="E40" t="s">
        <v>8</v>
      </c>
      <c r="F40">
        <v>16</v>
      </c>
      <c r="H40" s="6">
        <f>_xlfn.XLOOKUP(A40,Foglio6!A:A,Foglio6!B:B,0)</f>
        <v>8</v>
      </c>
    </row>
    <row r="41" spans="1:8" x14ac:dyDescent="0.3">
      <c r="A41" t="s">
        <v>206</v>
      </c>
      <c r="B41" t="s">
        <v>14</v>
      </c>
      <c r="C41">
        <v>29</v>
      </c>
      <c r="D41" t="s">
        <v>8</v>
      </c>
      <c r="E41" t="s">
        <v>34</v>
      </c>
      <c r="F41">
        <v>11</v>
      </c>
      <c r="H41" s="6">
        <f>_xlfn.XLOOKUP(A41,Foglio6!A:A,Foglio6!B:B,0)</f>
        <v>8</v>
      </c>
    </row>
    <row r="42" spans="1:8" x14ac:dyDescent="0.3">
      <c r="A42" t="s">
        <v>321</v>
      </c>
      <c r="B42" t="s">
        <v>115</v>
      </c>
      <c r="C42">
        <v>25</v>
      </c>
      <c r="D42" t="s">
        <v>8</v>
      </c>
      <c r="E42" t="s">
        <v>9</v>
      </c>
      <c r="F42">
        <v>6</v>
      </c>
      <c r="H42" s="6">
        <f>_xlfn.XLOOKUP(A42,Foglio6!A:A,Foglio6!B:B,0)</f>
        <v>8</v>
      </c>
    </row>
    <row r="43" spans="1:8" x14ac:dyDescent="0.3">
      <c r="A43" t="s">
        <v>126</v>
      </c>
      <c r="B43" t="s">
        <v>45</v>
      </c>
      <c r="C43">
        <v>24</v>
      </c>
      <c r="D43" t="s">
        <v>8</v>
      </c>
      <c r="E43" t="s">
        <v>9</v>
      </c>
      <c r="F43">
        <v>20</v>
      </c>
      <c r="H43" s="6">
        <f>_xlfn.XLOOKUP(A43,Foglio6!A:A,Foglio6!B:B,0)</f>
        <v>7</v>
      </c>
    </row>
    <row r="44" spans="1:8" x14ac:dyDescent="0.3">
      <c r="A44" t="s">
        <v>150</v>
      </c>
      <c r="B44" t="s">
        <v>33</v>
      </c>
      <c r="C44">
        <v>25</v>
      </c>
      <c r="D44" t="s">
        <v>8</v>
      </c>
      <c r="E44" t="s">
        <v>9</v>
      </c>
      <c r="F44">
        <v>16</v>
      </c>
      <c r="H44" s="6">
        <f>_xlfn.XLOOKUP(A44,Foglio6!A:A,Foglio6!B:B,0)</f>
        <v>7</v>
      </c>
    </row>
    <row r="45" spans="1:8" x14ac:dyDescent="0.3">
      <c r="A45" t="s">
        <v>147</v>
      </c>
      <c r="B45" t="s">
        <v>55</v>
      </c>
      <c r="C45">
        <v>23</v>
      </c>
      <c r="D45" t="s">
        <v>8</v>
      </c>
      <c r="E45" t="s">
        <v>9</v>
      </c>
      <c r="F45">
        <v>16</v>
      </c>
      <c r="H45" s="6">
        <f>_xlfn.XLOOKUP(A45,Foglio6!A:A,Foglio6!B:B,0)</f>
        <v>7</v>
      </c>
    </row>
    <row r="46" spans="1:8" x14ac:dyDescent="0.3">
      <c r="A46" t="s">
        <v>62</v>
      </c>
      <c r="B46" t="s">
        <v>11</v>
      </c>
      <c r="C46">
        <v>22</v>
      </c>
      <c r="D46" t="s">
        <v>8</v>
      </c>
      <c r="E46" t="s">
        <v>9</v>
      </c>
      <c r="F46">
        <v>41</v>
      </c>
      <c r="H46" s="6">
        <f>_xlfn.XLOOKUP(A46,Foglio6!A:A,Foglio6!B:B,0)</f>
        <v>6</v>
      </c>
    </row>
    <row r="47" spans="1:8" x14ac:dyDescent="0.3">
      <c r="A47" t="s">
        <v>238</v>
      </c>
      <c r="B47" t="s">
        <v>178</v>
      </c>
      <c r="C47">
        <v>25</v>
      </c>
      <c r="D47" t="s">
        <v>8</v>
      </c>
      <c r="E47" t="s">
        <v>9</v>
      </c>
      <c r="F47">
        <v>9</v>
      </c>
      <c r="H47" s="6">
        <f>_xlfn.XLOOKUP(A47,Foglio6!A:A,Foglio6!B:B,0)</f>
        <v>5</v>
      </c>
    </row>
    <row r="48" spans="1:8" x14ac:dyDescent="0.3">
      <c r="A48" t="s">
        <v>375</v>
      </c>
      <c r="B48" t="s">
        <v>104</v>
      </c>
      <c r="C48">
        <v>26</v>
      </c>
      <c r="D48" t="s">
        <v>8</v>
      </c>
      <c r="E48" t="s">
        <v>9</v>
      </c>
      <c r="F48">
        <v>5</v>
      </c>
      <c r="H48" s="6">
        <f>_xlfn.XLOOKUP(A48,Foglio6!A:A,Foglio6!B:B,0)</f>
        <v>5</v>
      </c>
    </row>
    <row r="49" spans="1:8" x14ac:dyDescent="0.3">
      <c r="A49" t="s">
        <v>369</v>
      </c>
      <c r="B49" t="s">
        <v>104</v>
      </c>
      <c r="C49">
        <v>19</v>
      </c>
      <c r="D49" t="s">
        <v>8</v>
      </c>
      <c r="E49" t="s">
        <v>9</v>
      </c>
      <c r="F49">
        <v>5</v>
      </c>
      <c r="H49" s="6">
        <f>_xlfn.XLOOKUP(A49,Foglio6!A:A,Foglio6!B:B,0)</f>
        <v>5</v>
      </c>
    </row>
    <row r="50" spans="1:8" x14ac:dyDescent="0.3">
      <c r="A50" t="s">
        <v>52</v>
      </c>
      <c r="B50" t="s">
        <v>39</v>
      </c>
      <c r="C50">
        <v>26</v>
      </c>
      <c r="D50" t="s">
        <v>8</v>
      </c>
      <c r="E50" t="s">
        <v>9</v>
      </c>
      <c r="F50">
        <v>48</v>
      </c>
      <c r="G50" s="8">
        <v>0</v>
      </c>
      <c r="H50" s="6">
        <f>_xlfn.XLOOKUP(A50,Foglio6!A:A,Foglio6!B:B,0)</f>
        <v>4</v>
      </c>
    </row>
    <row r="51" spans="1:8" x14ac:dyDescent="0.3">
      <c r="A51" t="s">
        <v>91</v>
      </c>
      <c r="B51" t="s">
        <v>11</v>
      </c>
      <c r="C51">
        <v>23</v>
      </c>
      <c r="D51" t="s">
        <v>8</v>
      </c>
      <c r="E51" t="s">
        <v>8</v>
      </c>
      <c r="F51">
        <v>27</v>
      </c>
      <c r="H51" s="6">
        <f>_xlfn.XLOOKUP(A51,Foglio6!A:A,Foglio6!B:B,0)</f>
        <v>4</v>
      </c>
    </row>
    <row r="52" spans="1:8" x14ac:dyDescent="0.3">
      <c r="A52" t="s">
        <v>217</v>
      </c>
      <c r="B52" t="s">
        <v>94</v>
      </c>
      <c r="C52">
        <v>26</v>
      </c>
      <c r="D52" t="s">
        <v>8</v>
      </c>
      <c r="E52" t="s">
        <v>9</v>
      </c>
      <c r="F52">
        <v>10</v>
      </c>
      <c r="H52" s="6">
        <f>_xlfn.XLOOKUP(A52,Foglio6!A:A,Foglio6!B:B,0)</f>
        <v>4</v>
      </c>
    </row>
    <row r="53" spans="1:8" x14ac:dyDescent="0.3">
      <c r="A53" t="s">
        <v>239</v>
      </c>
      <c r="B53" t="s">
        <v>55</v>
      </c>
      <c r="C53">
        <v>27</v>
      </c>
      <c r="D53" t="s">
        <v>8</v>
      </c>
      <c r="E53" t="s">
        <v>8</v>
      </c>
      <c r="F53">
        <v>9</v>
      </c>
      <c r="H53" s="6">
        <f>_xlfn.XLOOKUP(A53,Foglio6!A:A,Foglio6!B:B,0)</f>
        <v>4</v>
      </c>
    </row>
    <row r="54" spans="1:8" x14ac:dyDescent="0.3">
      <c r="A54" t="s">
        <v>367</v>
      </c>
      <c r="B54" t="s">
        <v>142</v>
      </c>
      <c r="C54">
        <v>19</v>
      </c>
      <c r="D54" t="s">
        <v>8</v>
      </c>
      <c r="E54" t="s">
        <v>8</v>
      </c>
      <c r="F54">
        <v>5</v>
      </c>
      <c r="H54" s="6">
        <f>_xlfn.XLOOKUP(A54,Foglio6!A:A,Foglio6!B:B,0)</f>
        <v>3.5</v>
      </c>
    </row>
    <row r="55" spans="1:8" x14ac:dyDescent="0.3">
      <c r="A55" t="s">
        <v>410</v>
      </c>
      <c r="B55" t="s">
        <v>142</v>
      </c>
      <c r="C55">
        <v>21</v>
      </c>
      <c r="D55" t="s">
        <v>8</v>
      </c>
      <c r="E55" t="s">
        <v>9</v>
      </c>
      <c r="F55">
        <v>4</v>
      </c>
      <c r="H55" s="6">
        <f>_xlfn.XLOOKUP(A55,Foglio6!A:A,Foglio6!B:B,0)</f>
        <v>2.5</v>
      </c>
    </row>
    <row r="56" spans="1:8" x14ac:dyDescent="0.3">
      <c r="A56" t="s">
        <v>53</v>
      </c>
      <c r="B56" t="s">
        <v>7</v>
      </c>
      <c r="C56">
        <v>21</v>
      </c>
      <c r="D56" t="s">
        <v>8</v>
      </c>
      <c r="E56" t="s">
        <v>9</v>
      </c>
      <c r="F56">
        <v>47</v>
      </c>
      <c r="G56" s="8">
        <v>0</v>
      </c>
      <c r="H56" s="6">
        <f>_xlfn.XLOOKUP(A56,Foglio6!A:A,Foglio6!B:B,0)</f>
        <v>2</v>
      </c>
    </row>
    <row r="57" spans="1:8" x14ac:dyDescent="0.3">
      <c r="A57" t="s">
        <v>79</v>
      </c>
      <c r="B57" t="s">
        <v>31</v>
      </c>
      <c r="C57">
        <v>25</v>
      </c>
      <c r="D57" t="s">
        <v>8</v>
      </c>
      <c r="E57" t="s">
        <v>9</v>
      </c>
      <c r="F57">
        <v>30</v>
      </c>
      <c r="H57" s="6">
        <f>_xlfn.XLOOKUP(A57,Foglio6!A:A,Foglio6!B:B,0)</f>
        <v>2</v>
      </c>
    </row>
    <row r="58" spans="1:8" x14ac:dyDescent="0.3">
      <c r="A58" t="s">
        <v>179</v>
      </c>
      <c r="B58" t="s">
        <v>25</v>
      </c>
      <c r="C58">
        <v>29</v>
      </c>
      <c r="D58" t="s">
        <v>8</v>
      </c>
      <c r="E58" t="s">
        <v>8</v>
      </c>
      <c r="F58">
        <v>13</v>
      </c>
      <c r="H58" s="6">
        <f>_xlfn.XLOOKUP(A58,Foglio6!A:A,Foglio6!B:B,0)</f>
        <v>2</v>
      </c>
    </row>
    <row r="59" spans="1:8" x14ac:dyDescent="0.3">
      <c r="A59" t="s">
        <v>241</v>
      </c>
      <c r="B59" t="s">
        <v>64</v>
      </c>
      <c r="C59">
        <v>35</v>
      </c>
      <c r="D59" t="s">
        <v>8</v>
      </c>
      <c r="E59" t="s">
        <v>9</v>
      </c>
      <c r="F59">
        <v>9</v>
      </c>
      <c r="H59" s="6">
        <f>_xlfn.XLOOKUP(A59,Foglio6!A:A,Foglio6!B:B,0)</f>
        <v>1</v>
      </c>
    </row>
    <row r="60" spans="1:8" x14ac:dyDescent="0.3">
      <c r="A60" t="s">
        <v>127</v>
      </c>
      <c r="B60" t="s">
        <v>29</v>
      </c>
      <c r="C60">
        <v>26</v>
      </c>
      <c r="D60" t="s">
        <v>8</v>
      </c>
      <c r="E60" t="s">
        <v>9</v>
      </c>
      <c r="F60">
        <v>20</v>
      </c>
      <c r="H60" s="6">
        <f>_xlfn.XLOOKUP(A60,Foglio6!A:A,Foglio6!B:B,0)</f>
        <v>0</v>
      </c>
    </row>
    <row r="61" spans="1:8" x14ac:dyDescent="0.3">
      <c r="A61" t="s">
        <v>128</v>
      </c>
      <c r="B61" t="s">
        <v>104</v>
      </c>
      <c r="C61">
        <v>24</v>
      </c>
      <c r="D61" t="s">
        <v>8</v>
      </c>
      <c r="E61" t="s">
        <v>8</v>
      </c>
      <c r="F61">
        <v>20</v>
      </c>
      <c r="H61" s="6">
        <f>_xlfn.XLOOKUP(A61,Foglio6!A:A,Foglio6!B:B,0)</f>
        <v>0</v>
      </c>
    </row>
    <row r="62" spans="1:8" x14ac:dyDescent="0.3">
      <c r="A62" t="s">
        <v>180</v>
      </c>
      <c r="B62" t="s">
        <v>29</v>
      </c>
      <c r="C62">
        <v>29</v>
      </c>
      <c r="D62" t="s">
        <v>8</v>
      </c>
      <c r="E62" t="s">
        <v>34</v>
      </c>
      <c r="F62">
        <v>13</v>
      </c>
      <c r="H62" s="6">
        <f>_xlfn.XLOOKUP(A62,Foglio6!A:A,Foglio6!B:B,0)</f>
        <v>0</v>
      </c>
    </row>
    <row r="63" spans="1:8" x14ac:dyDescent="0.3">
      <c r="A63" t="s">
        <v>207</v>
      </c>
      <c r="B63" t="s">
        <v>7</v>
      </c>
      <c r="C63">
        <v>23</v>
      </c>
      <c r="D63" t="s">
        <v>8</v>
      </c>
      <c r="E63" t="s">
        <v>9</v>
      </c>
      <c r="F63">
        <v>11</v>
      </c>
      <c r="H63" s="6">
        <f>_xlfn.XLOOKUP(A63,Foglio6!A:A,Foglio6!B:B,0)</f>
        <v>0</v>
      </c>
    </row>
    <row r="64" spans="1:8" x14ac:dyDescent="0.3">
      <c r="A64" t="s">
        <v>218</v>
      </c>
      <c r="B64" t="s">
        <v>25</v>
      </c>
      <c r="C64">
        <v>18</v>
      </c>
      <c r="D64" t="s">
        <v>8</v>
      </c>
      <c r="E64" t="s">
        <v>9</v>
      </c>
      <c r="F64">
        <v>10</v>
      </c>
      <c r="H64" s="6">
        <f>_xlfn.XLOOKUP(A64,Foglio6!A:A,Foglio6!B:B,0)</f>
        <v>0</v>
      </c>
    </row>
    <row r="65" spans="1:8" x14ac:dyDescent="0.3">
      <c r="A65" t="s">
        <v>260</v>
      </c>
      <c r="B65" t="s">
        <v>104</v>
      </c>
      <c r="C65">
        <v>23</v>
      </c>
      <c r="D65" t="s">
        <v>8</v>
      </c>
      <c r="E65" t="s">
        <v>9</v>
      </c>
      <c r="F65">
        <v>8</v>
      </c>
      <c r="H65" s="6">
        <f>_xlfn.XLOOKUP(A65,Foglio6!A:A,Foglio6!B:B,0)</f>
        <v>0</v>
      </c>
    </row>
    <row r="66" spans="1:8" x14ac:dyDescent="0.3">
      <c r="A66" t="s">
        <v>262</v>
      </c>
      <c r="B66" t="s">
        <v>39</v>
      </c>
      <c r="C66">
        <v>24</v>
      </c>
      <c r="D66" t="s">
        <v>8</v>
      </c>
      <c r="E66" t="s">
        <v>8</v>
      </c>
      <c r="F66">
        <v>8</v>
      </c>
      <c r="H66" s="6">
        <f>_xlfn.XLOOKUP(A66,Foglio6!A:A,Foglio6!B:B,0)</f>
        <v>0</v>
      </c>
    </row>
    <row r="67" spans="1:8" x14ac:dyDescent="0.3">
      <c r="A67" t="s">
        <v>286</v>
      </c>
      <c r="B67" t="s">
        <v>94</v>
      </c>
      <c r="C67">
        <v>26</v>
      </c>
      <c r="D67" t="s">
        <v>8</v>
      </c>
      <c r="E67" t="s">
        <v>9</v>
      </c>
      <c r="F67">
        <v>7</v>
      </c>
      <c r="H67" s="6">
        <f>_xlfn.XLOOKUP(A67,Foglio6!A:A,Foglio6!B:B,0)</f>
        <v>0</v>
      </c>
    </row>
    <row r="68" spans="1:8" x14ac:dyDescent="0.3">
      <c r="A68" t="s">
        <v>285</v>
      </c>
      <c r="B68" t="s">
        <v>25</v>
      </c>
      <c r="C68">
        <v>25</v>
      </c>
      <c r="D68" t="s">
        <v>8</v>
      </c>
      <c r="E68" t="s">
        <v>9</v>
      </c>
      <c r="F68">
        <v>7</v>
      </c>
      <c r="H68" s="6">
        <f>_xlfn.XLOOKUP(A68,Foglio6!A:A,Foglio6!B:B,0)</f>
        <v>0</v>
      </c>
    </row>
    <row r="69" spans="1:8" x14ac:dyDescent="0.3">
      <c r="A69" t="s">
        <v>287</v>
      </c>
      <c r="B69" t="s">
        <v>29</v>
      </c>
      <c r="C69">
        <v>32</v>
      </c>
      <c r="D69" t="s">
        <v>8</v>
      </c>
      <c r="E69" t="s">
        <v>9</v>
      </c>
      <c r="F69">
        <v>7</v>
      </c>
      <c r="H69" s="6">
        <f>_xlfn.XLOOKUP(A69,Foglio6!A:A,Foglio6!B:B,0)</f>
        <v>0</v>
      </c>
    </row>
    <row r="70" spans="1:8" x14ac:dyDescent="0.3">
      <c r="A70" t="s">
        <v>374</v>
      </c>
      <c r="B70" t="s">
        <v>29</v>
      </c>
      <c r="C70">
        <v>20</v>
      </c>
      <c r="D70" t="s">
        <v>8</v>
      </c>
      <c r="E70" t="s">
        <v>8</v>
      </c>
      <c r="F70">
        <v>5</v>
      </c>
      <c r="H70" s="6">
        <f>_xlfn.XLOOKUP(A70,Foglio6!A:A,Foglio6!B:B,0)</f>
        <v>0</v>
      </c>
    </row>
    <row r="71" spans="1:8" x14ac:dyDescent="0.3">
      <c r="A71" t="s">
        <v>371</v>
      </c>
      <c r="B71" t="s">
        <v>14</v>
      </c>
      <c r="C71">
        <v>23</v>
      </c>
      <c r="D71" t="s">
        <v>8</v>
      </c>
      <c r="E71" t="s">
        <v>8</v>
      </c>
      <c r="F71">
        <v>5</v>
      </c>
      <c r="H71" s="6">
        <f>_xlfn.XLOOKUP(A71,Foglio6!A:A,Foglio6!B:B,0)</f>
        <v>0</v>
      </c>
    </row>
    <row r="72" spans="1:8" x14ac:dyDescent="0.3">
      <c r="A72" t="s">
        <v>368</v>
      </c>
      <c r="B72" t="s">
        <v>74</v>
      </c>
      <c r="C72">
        <v>23</v>
      </c>
      <c r="D72" t="s">
        <v>8</v>
      </c>
      <c r="E72" t="s">
        <v>9</v>
      </c>
      <c r="F72">
        <v>5</v>
      </c>
      <c r="H72" s="6">
        <f>_xlfn.XLOOKUP(A72,Foglio6!A:A,Foglio6!B:B,0)</f>
        <v>0</v>
      </c>
    </row>
    <row r="73" spans="1:8" x14ac:dyDescent="0.3">
      <c r="A73" t="s">
        <v>370</v>
      </c>
      <c r="B73" t="s">
        <v>64</v>
      </c>
      <c r="C73">
        <v>27</v>
      </c>
      <c r="D73" t="s">
        <v>8</v>
      </c>
      <c r="E73" t="s">
        <v>9</v>
      </c>
      <c r="F73">
        <v>5</v>
      </c>
      <c r="H73" s="6">
        <f>_xlfn.XLOOKUP(A73,Foglio6!A:A,Foglio6!B:B,0)</f>
        <v>0</v>
      </c>
    </row>
    <row r="74" spans="1:8" x14ac:dyDescent="0.3">
      <c r="A74" t="s">
        <v>372</v>
      </c>
      <c r="B74" t="s">
        <v>14</v>
      </c>
      <c r="C74">
        <v>27</v>
      </c>
      <c r="D74" t="s">
        <v>8</v>
      </c>
      <c r="E74" t="s">
        <v>8</v>
      </c>
      <c r="F74">
        <v>5</v>
      </c>
      <c r="H74" s="6">
        <f>_xlfn.XLOOKUP(A74,Foglio6!A:A,Foglio6!B:B,0)</f>
        <v>0</v>
      </c>
    </row>
    <row r="75" spans="1:8" x14ac:dyDescent="0.3">
      <c r="A75" t="s">
        <v>376</v>
      </c>
      <c r="B75" t="s">
        <v>14</v>
      </c>
      <c r="C75">
        <v>26</v>
      </c>
      <c r="D75" t="s">
        <v>8</v>
      </c>
      <c r="E75" t="s">
        <v>9</v>
      </c>
      <c r="F75">
        <v>5</v>
      </c>
      <c r="H75" s="6">
        <f>_xlfn.XLOOKUP(A75,Foglio6!A:A,Foglio6!B:B,0)</f>
        <v>0</v>
      </c>
    </row>
    <row r="76" spans="1:8" x14ac:dyDescent="0.3">
      <c r="A76" t="s">
        <v>377</v>
      </c>
      <c r="B76" t="s">
        <v>19</v>
      </c>
      <c r="C76">
        <v>34</v>
      </c>
      <c r="D76" t="s">
        <v>8</v>
      </c>
      <c r="E76" t="s">
        <v>9</v>
      </c>
      <c r="F76">
        <v>5</v>
      </c>
      <c r="H76" s="6">
        <f>_xlfn.XLOOKUP(A76,Foglio6!A:A,Foglio6!B:B,0)</f>
        <v>0</v>
      </c>
    </row>
    <row r="77" spans="1:8" x14ac:dyDescent="0.3">
      <c r="A77" t="s">
        <v>411</v>
      </c>
      <c r="B77" t="s">
        <v>42</v>
      </c>
      <c r="C77">
        <v>20</v>
      </c>
      <c r="D77" t="s">
        <v>8</v>
      </c>
      <c r="E77" t="s">
        <v>9</v>
      </c>
      <c r="F77">
        <v>4</v>
      </c>
      <c r="H77" s="6">
        <f>_xlfn.XLOOKUP(A77,Foglio6!A:A,Foglio6!B:B,0)</f>
        <v>0</v>
      </c>
    </row>
    <row r="78" spans="1:8" x14ac:dyDescent="0.3">
      <c r="A78" t="s">
        <v>438</v>
      </c>
      <c r="B78" t="s">
        <v>19</v>
      </c>
      <c r="C78">
        <v>26</v>
      </c>
      <c r="D78" t="s">
        <v>8</v>
      </c>
      <c r="E78" t="s">
        <v>34</v>
      </c>
      <c r="F78">
        <v>3</v>
      </c>
      <c r="H78" s="6">
        <f>_xlfn.XLOOKUP(A78,Foglio6!A:A,Foglio6!B:B,0)</f>
        <v>0</v>
      </c>
    </row>
    <row r="79" spans="1:8" x14ac:dyDescent="0.3">
      <c r="A79" t="s">
        <v>469</v>
      </c>
      <c r="B79" t="s">
        <v>42</v>
      </c>
      <c r="C79">
        <v>29</v>
      </c>
      <c r="D79" t="s">
        <v>8</v>
      </c>
      <c r="E79" t="s">
        <v>9</v>
      </c>
      <c r="F79">
        <v>2</v>
      </c>
      <c r="H79" s="6">
        <f>_xlfn.XLOOKUP(A79,Foglio6!A:A,Foglio6!B:B,0)</f>
        <v>0</v>
      </c>
    </row>
    <row r="80" spans="1:8" x14ac:dyDescent="0.3">
      <c r="A80" t="s">
        <v>468</v>
      </c>
      <c r="B80" t="s">
        <v>42</v>
      </c>
      <c r="C80">
        <v>30</v>
      </c>
      <c r="D80" t="s">
        <v>8</v>
      </c>
      <c r="E80" t="s">
        <v>9</v>
      </c>
      <c r="F80">
        <v>2</v>
      </c>
      <c r="H80" s="6">
        <f>_xlfn.XLOOKUP(A80,Foglio6!A:A,Foglio6!B:B,0)</f>
        <v>0</v>
      </c>
    </row>
    <row r="81" spans="1:8" x14ac:dyDescent="0.3">
      <c r="A81" t="s">
        <v>467</v>
      </c>
      <c r="B81" t="s">
        <v>115</v>
      </c>
      <c r="C81">
        <v>18</v>
      </c>
      <c r="D81" t="s">
        <v>8</v>
      </c>
      <c r="E81" t="s">
        <v>8</v>
      </c>
      <c r="F81">
        <v>2</v>
      </c>
      <c r="H81" s="6">
        <f>_xlfn.XLOOKUP(A81,Foglio6!A:A,Foglio6!B:B,0)</f>
        <v>0</v>
      </c>
    </row>
    <row r="82" spans="1:8" x14ac:dyDescent="0.3">
      <c r="A82" t="s">
        <v>470</v>
      </c>
      <c r="B82" t="s">
        <v>11</v>
      </c>
      <c r="C82">
        <v>19</v>
      </c>
      <c r="D82" t="s">
        <v>8</v>
      </c>
      <c r="E82" t="s">
        <v>9</v>
      </c>
      <c r="F82">
        <v>2</v>
      </c>
      <c r="H82" s="6">
        <f>_xlfn.XLOOKUP(A82,Foglio6!A:A,Foglio6!B:B,0)</f>
        <v>0</v>
      </c>
    </row>
    <row r="83" spans="1:8" x14ac:dyDescent="0.3">
      <c r="A83" t="s">
        <v>506</v>
      </c>
      <c r="B83" t="s">
        <v>104</v>
      </c>
      <c r="C83">
        <v>21</v>
      </c>
      <c r="D83" t="s">
        <v>8</v>
      </c>
      <c r="E83" t="s">
        <v>8</v>
      </c>
      <c r="F83">
        <v>1</v>
      </c>
      <c r="H83" s="6">
        <f>_xlfn.XLOOKUP(A83,Foglio6!A:A,Foglio6!B:B,0)</f>
        <v>0</v>
      </c>
    </row>
    <row r="84" spans="1:8" x14ac:dyDescent="0.3">
      <c r="A84" t="s">
        <v>509</v>
      </c>
      <c r="B84" t="s">
        <v>19</v>
      </c>
      <c r="C84">
        <v>24</v>
      </c>
      <c r="D84" t="s">
        <v>8</v>
      </c>
      <c r="E84" t="s">
        <v>9</v>
      </c>
      <c r="F84">
        <v>1</v>
      </c>
      <c r="H84" s="6">
        <f>_xlfn.XLOOKUP(A84,Foglio6!A:A,Foglio6!B:B,0)</f>
        <v>0</v>
      </c>
    </row>
    <row r="85" spans="1:8" x14ac:dyDescent="0.3">
      <c r="A85" t="s">
        <v>503</v>
      </c>
      <c r="B85" t="s">
        <v>115</v>
      </c>
      <c r="C85">
        <v>18</v>
      </c>
      <c r="D85" t="s">
        <v>8</v>
      </c>
      <c r="E85" t="s">
        <v>9</v>
      </c>
      <c r="F85">
        <v>1</v>
      </c>
      <c r="H85" s="6">
        <f>_xlfn.XLOOKUP(A85,Foglio6!A:A,Foglio6!B:B,0)</f>
        <v>0</v>
      </c>
    </row>
    <row r="86" spans="1:8" x14ac:dyDescent="0.3">
      <c r="A86" t="s">
        <v>504</v>
      </c>
      <c r="B86" t="s">
        <v>94</v>
      </c>
      <c r="C86">
        <v>28</v>
      </c>
      <c r="D86" t="s">
        <v>8</v>
      </c>
      <c r="E86" t="s">
        <v>9</v>
      </c>
      <c r="F86">
        <v>1</v>
      </c>
      <c r="H86" s="6">
        <f>_xlfn.XLOOKUP(A86,Foglio6!A:A,Foglio6!B:B,0)</f>
        <v>0</v>
      </c>
    </row>
    <row r="87" spans="1:8" x14ac:dyDescent="0.3">
      <c r="A87" t="s">
        <v>505</v>
      </c>
      <c r="B87" t="s">
        <v>94</v>
      </c>
      <c r="C87">
        <v>20</v>
      </c>
      <c r="D87" t="s">
        <v>8</v>
      </c>
      <c r="E87" t="s">
        <v>34</v>
      </c>
      <c r="F87">
        <v>1</v>
      </c>
      <c r="H87" s="6">
        <f>_xlfn.XLOOKUP(A87,Foglio6!A:A,Foglio6!B:B,0)</f>
        <v>0</v>
      </c>
    </row>
    <row r="88" spans="1:8" x14ac:dyDescent="0.3">
      <c r="A88" t="s">
        <v>507</v>
      </c>
      <c r="B88" t="s">
        <v>104</v>
      </c>
      <c r="C88">
        <v>20</v>
      </c>
      <c r="D88" t="s">
        <v>8</v>
      </c>
      <c r="E88" t="s">
        <v>9</v>
      </c>
      <c r="F88">
        <v>1</v>
      </c>
      <c r="H88" s="6">
        <f>_xlfn.XLOOKUP(A88,Foglio6!A:A,Foglio6!B:B,0)</f>
        <v>0</v>
      </c>
    </row>
  </sheetData>
  <sortState xmlns:xlrd2="http://schemas.microsoft.com/office/spreadsheetml/2017/richdata2" ref="A3:H88">
    <sortCondition descending="1" ref="H1:H8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5ECA-6FBC-4935-928D-4286DE1656FB}">
  <dimension ref="A1:F29"/>
  <sheetViews>
    <sheetView workbookViewId="0">
      <selection activeCell="B27" sqref="B27"/>
    </sheetView>
  </sheetViews>
  <sheetFormatPr defaultRowHeight="14.4" x14ac:dyDescent="0.3"/>
  <cols>
    <col min="1" max="1" width="18.5546875" customWidth="1"/>
  </cols>
  <sheetData>
    <row r="1" spans="1:6" x14ac:dyDescent="0.3">
      <c r="A1" s="1"/>
    </row>
    <row r="3" spans="1:6" x14ac:dyDescent="0.3">
      <c r="A3" t="s">
        <v>268</v>
      </c>
      <c r="B3" t="s">
        <v>142</v>
      </c>
      <c r="C3">
        <v>22</v>
      </c>
      <c r="D3" t="s">
        <v>20</v>
      </c>
      <c r="E3" t="s">
        <v>20</v>
      </c>
      <c r="F3">
        <v>8</v>
      </c>
    </row>
    <row r="4" spans="1:6" x14ac:dyDescent="0.3">
      <c r="A4" t="s">
        <v>242</v>
      </c>
      <c r="B4" t="s">
        <v>64</v>
      </c>
      <c r="C4">
        <v>19</v>
      </c>
      <c r="D4" t="s">
        <v>20</v>
      </c>
      <c r="E4" t="s">
        <v>17</v>
      </c>
      <c r="F4">
        <v>9</v>
      </c>
    </row>
    <row r="5" spans="1:6" x14ac:dyDescent="0.3">
      <c r="A5" t="s">
        <v>181</v>
      </c>
      <c r="B5" t="s">
        <v>157</v>
      </c>
      <c r="C5">
        <v>29</v>
      </c>
      <c r="D5" t="s">
        <v>20</v>
      </c>
      <c r="E5" t="s">
        <v>27</v>
      </c>
      <c r="F5">
        <v>13</v>
      </c>
    </row>
    <row r="6" spans="1:6" x14ac:dyDescent="0.3">
      <c r="A6" s="1" t="s">
        <v>317</v>
      </c>
    </row>
    <row r="7" spans="1:6" x14ac:dyDescent="0.3">
      <c r="A7" s="1" t="s">
        <v>237</v>
      </c>
    </row>
    <row r="8" spans="1:6" x14ac:dyDescent="0.3">
      <c r="A8" s="1" t="s">
        <v>709</v>
      </c>
    </row>
    <row r="9" spans="1:6" x14ac:dyDescent="0.3">
      <c r="A9" s="1" t="s">
        <v>315</v>
      </c>
    </row>
    <row r="10" spans="1:6" x14ac:dyDescent="0.3">
      <c r="A10" s="1" t="s">
        <v>710</v>
      </c>
    </row>
    <row r="11" spans="1:6" x14ac:dyDescent="0.3">
      <c r="A11" s="1" t="s">
        <v>387</v>
      </c>
    </row>
    <row r="12" spans="1:6" x14ac:dyDescent="0.3">
      <c r="A12" s="1" t="s">
        <v>232</v>
      </c>
    </row>
    <row r="13" spans="1:6" x14ac:dyDescent="0.3">
      <c r="A13" s="1" t="s">
        <v>254</v>
      </c>
    </row>
    <row r="14" spans="1:6" x14ac:dyDescent="0.3">
      <c r="A14" s="1" t="s">
        <v>229</v>
      </c>
    </row>
    <row r="15" spans="1:6" x14ac:dyDescent="0.3">
      <c r="A15" s="1" t="s">
        <v>263</v>
      </c>
    </row>
    <row r="16" spans="1:6" x14ac:dyDescent="0.3">
      <c r="A16" s="1" t="s">
        <v>210</v>
      </c>
    </row>
    <row r="17" spans="1:1" x14ac:dyDescent="0.3">
      <c r="A17" s="1" t="s">
        <v>294</v>
      </c>
    </row>
    <row r="18" spans="1:1" x14ac:dyDescent="0.3">
      <c r="A18" s="1" t="s">
        <v>711</v>
      </c>
    </row>
    <row r="19" spans="1:1" x14ac:dyDescent="0.3">
      <c r="A19" s="1" t="s">
        <v>712</v>
      </c>
    </row>
    <row r="20" spans="1:1" x14ac:dyDescent="0.3">
      <c r="A20" s="1" t="s">
        <v>267</v>
      </c>
    </row>
    <row r="21" spans="1:1" x14ac:dyDescent="0.3">
      <c r="A21" s="1" t="s">
        <v>299</v>
      </c>
    </row>
    <row r="22" spans="1:1" x14ac:dyDescent="0.3">
      <c r="A22" s="1" t="s">
        <v>261</v>
      </c>
    </row>
    <row r="23" spans="1:1" x14ac:dyDescent="0.3">
      <c r="A23" s="1" t="s">
        <v>107</v>
      </c>
    </row>
    <row r="24" spans="1:1" x14ac:dyDescent="0.3">
      <c r="A24" s="1" t="s">
        <v>177</v>
      </c>
    </row>
    <row r="25" spans="1:1" x14ac:dyDescent="0.3">
      <c r="A25" s="1" t="s">
        <v>375</v>
      </c>
    </row>
    <row r="26" spans="1:1" x14ac:dyDescent="0.3">
      <c r="A26" s="1" t="s">
        <v>141</v>
      </c>
    </row>
    <row r="27" spans="1:1" x14ac:dyDescent="0.3">
      <c r="A27" s="1" t="s">
        <v>713</v>
      </c>
    </row>
    <row r="28" spans="1:1" x14ac:dyDescent="0.3">
      <c r="A28" s="1" t="s">
        <v>284</v>
      </c>
    </row>
    <row r="29" spans="1:1" x14ac:dyDescent="0.3">
      <c r="A29" s="1" t="s">
        <v>714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7652-E2AC-4033-91F1-D98F6BD2050A}">
  <dimension ref="A1:S60"/>
  <sheetViews>
    <sheetView topLeftCell="A22" workbookViewId="0">
      <selection activeCell="S7" sqref="S7"/>
    </sheetView>
  </sheetViews>
  <sheetFormatPr defaultRowHeight="14.4" x14ac:dyDescent="0.3"/>
  <cols>
    <col min="7" max="7" width="8.88671875" style="6"/>
  </cols>
  <sheetData>
    <row r="1" spans="1:19" x14ac:dyDescent="0.3">
      <c r="A1" s="19" t="s">
        <v>93</v>
      </c>
      <c r="B1" s="19" t="s">
        <v>94</v>
      </c>
      <c r="C1">
        <v>26</v>
      </c>
      <c r="D1" t="s">
        <v>8</v>
      </c>
      <c r="E1" t="s">
        <v>9</v>
      </c>
      <c r="F1">
        <v>26</v>
      </c>
      <c r="G1" s="6">
        <v>19</v>
      </c>
      <c r="L1" s="1" t="s">
        <v>681</v>
      </c>
    </row>
    <row r="2" spans="1:19" x14ac:dyDescent="0.3">
      <c r="A2" t="s">
        <v>41</v>
      </c>
      <c r="B2" t="s">
        <v>42</v>
      </c>
      <c r="C2">
        <v>28</v>
      </c>
      <c r="D2" t="s">
        <v>8</v>
      </c>
      <c r="E2" t="s">
        <v>9</v>
      </c>
      <c r="F2">
        <v>61</v>
      </c>
      <c r="G2" s="6">
        <v>19</v>
      </c>
      <c r="L2" s="19" t="s">
        <v>93</v>
      </c>
      <c r="M2" s="19" t="s">
        <v>94</v>
      </c>
      <c r="N2">
        <v>26</v>
      </c>
      <c r="O2" t="s">
        <v>8</v>
      </c>
      <c r="P2" t="s">
        <v>9</v>
      </c>
      <c r="Q2">
        <v>26</v>
      </c>
      <c r="R2" s="6">
        <v>19</v>
      </c>
      <c r="S2">
        <v>1</v>
      </c>
    </row>
    <row r="3" spans="1:19" x14ac:dyDescent="0.3">
      <c r="A3" t="s">
        <v>63</v>
      </c>
      <c r="B3" t="s">
        <v>64</v>
      </c>
      <c r="C3">
        <v>31</v>
      </c>
      <c r="D3" t="s">
        <v>8</v>
      </c>
      <c r="E3" t="s">
        <v>9</v>
      </c>
      <c r="F3">
        <v>41</v>
      </c>
      <c r="G3" s="6">
        <v>19</v>
      </c>
      <c r="L3" s="19" t="s">
        <v>164</v>
      </c>
      <c r="M3" s="19" t="s">
        <v>94</v>
      </c>
      <c r="N3">
        <v>26</v>
      </c>
      <c r="O3" t="s">
        <v>8</v>
      </c>
      <c r="P3" t="s">
        <v>8</v>
      </c>
      <c r="Q3">
        <v>14</v>
      </c>
      <c r="R3" s="6">
        <v>16</v>
      </c>
      <c r="S3">
        <v>1</v>
      </c>
    </row>
    <row r="4" spans="1:19" x14ac:dyDescent="0.3">
      <c r="A4" t="s">
        <v>6</v>
      </c>
      <c r="B4" t="s">
        <v>7</v>
      </c>
      <c r="C4">
        <v>29</v>
      </c>
      <c r="D4" t="s">
        <v>8</v>
      </c>
      <c r="E4" t="s">
        <v>9</v>
      </c>
      <c r="F4">
        <v>185</v>
      </c>
      <c r="G4" s="6">
        <v>18</v>
      </c>
      <c r="L4" s="19" t="s">
        <v>219</v>
      </c>
      <c r="M4" s="19" t="s">
        <v>74</v>
      </c>
      <c r="N4">
        <v>26</v>
      </c>
      <c r="O4" t="s">
        <v>8</v>
      </c>
      <c r="P4" t="s">
        <v>8</v>
      </c>
      <c r="Q4">
        <v>10</v>
      </c>
      <c r="R4" s="6">
        <v>16</v>
      </c>
      <c r="S4">
        <v>1</v>
      </c>
    </row>
    <row r="5" spans="1:19" x14ac:dyDescent="0.3">
      <c r="A5" t="s">
        <v>10</v>
      </c>
      <c r="B5" t="s">
        <v>11</v>
      </c>
      <c r="C5">
        <v>27</v>
      </c>
      <c r="D5" t="s">
        <v>8</v>
      </c>
      <c r="E5" t="s">
        <v>9</v>
      </c>
      <c r="F5">
        <v>183</v>
      </c>
      <c r="G5" s="6">
        <v>18</v>
      </c>
      <c r="L5" s="19" t="s">
        <v>373</v>
      </c>
      <c r="M5" s="19" t="s">
        <v>178</v>
      </c>
      <c r="N5">
        <v>26</v>
      </c>
      <c r="O5" t="s">
        <v>8</v>
      </c>
      <c r="P5" t="s">
        <v>34</v>
      </c>
      <c r="Q5">
        <v>5</v>
      </c>
      <c r="R5" s="6">
        <v>16</v>
      </c>
      <c r="S5">
        <v>1</v>
      </c>
    </row>
    <row r="6" spans="1:19" x14ac:dyDescent="0.3">
      <c r="A6" t="s">
        <v>13</v>
      </c>
      <c r="B6" t="s">
        <v>14</v>
      </c>
      <c r="C6">
        <v>23</v>
      </c>
      <c r="D6" t="s">
        <v>8</v>
      </c>
      <c r="E6" t="s">
        <v>9</v>
      </c>
      <c r="F6">
        <v>136</v>
      </c>
      <c r="G6" s="6">
        <v>18</v>
      </c>
      <c r="L6" s="19" t="s">
        <v>321</v>
      </c>
      <c r="M6" s="19" t="s">
        <v>115</v>
      </c>
      <c r="N6">
        <v>25</v>
      </c>
      <c r="O6" t="s">
        <v>8</v>
      </c>
      <c r="P6" t="s">
        <v>9</v>
      </c>
      <c r="Q6">
        <v>6</v>
      </c>
      <c r="R6" s="6">
        <v>8</v>
      </c>
      <c r="S6">
        <v>1</v>
      </c>
    </row>
    <row r="7" spans="1:19" x14ac:dyDescent="0.3">
      <c r="A7" t="s">
        <v>24</v>
      </c>
      <c r="B7" t="s">
        <v>25</v>
      </c>
      <c r="C7">
        <v>25</v>
      </c>
      <c r="D7" t="s">
        <v>8</v>
      </c>
      <c r="E7" t="s">
        <v>9</v>
      </c>
      <c r="F7">
        <v>116</v>
      </c>
      <c r="G7" s="6">
        <v>18</v>
      </c>
      <c r="L7" s="19" t="s">
        <v>126</v>
      </c>
      <c r="M7" s="19" t="s">
        <v>45</v>
      </c>
      <c r="N7">
        <v>24</v>
      </c>
      <c r="O7" t="s">
        <v>8</v>
      </c>
      <c r="P7" t="s">
        <v>9</v>
      </c>
      <c r="Q7">
        <v>20</v>
      </c>
      <c r="R7" s="6">
        <v>7</v>
      </c>
    </row>
    <row r="8" spans="1:19" x14ac:dyDescent="0.3">
      <c r="A8" t="s">
        <v>28</v>
      </c>
      <c r="B8" t="s">
        <v>29</v>
      </c>
      <c r="C8">
        <v>28</v>
      </c>
      <c r="D8" t="s">
        <v>8</v>
      </c>
      <c r="E8" t="s">
        <v>9</v>
      </c>
      <c r="F8">
        <v>113</v>
      </c>
      <c r="G8" s="6">
        <v>18</v>
      </c>
      <c r="L8" s="19" t="s">
        <v>375</v>
      </c>
      <c r="M8" s="19" t="s">
        <v>104</v>
      </c>
      <c r="N8">
        <v>26</v>
      </c>
      <c r="O8" t="s">
        <v>8</v>
      </c>
      <c r="P8" t="s">
        <v>9</v>
      </c>
      <c r="Q8">
        <v>5</v>
      </c>
      <c r="R8" s="6">
        <v>5</v>
      </c>
    </row>
    <row r="9" spans="1:19" x14ac:dyDescent="0.3">
      <c r="A9" t="s">
        <v>37</v>
      </c>
      <c r="B9" t="s">
        <v>19</v>
      </c>
      <c r="C9">
        <v>27</v>
      </c>
      <c r="D9" t="s">
        <v>8</v>
      </c>
      <c r="E9" t="s">
        <v>9</v>
      </c>
      <c r="F9">
        <v>79</v>
      </c>
      <c r="G9" s="6">
        <v>18</v>
      </c>
      <c r="L9" s="19" t="s">
        <v>53</v>
      </c>
      <c r="M9" s="19" t="s">
        <v>7</v>
      </c>
      <c r="N9">
        <v>21</v>
      </c>
      <c r="O9" t="s">
        <v>8</v>
      </c>
      <c r="P9" t="s">
        <v>9</v>
      </c>
      <c r="Q9">
        <v>47</v>
      </c>
      <c r="R9" s="6">
        <v>2</v>
      </c>
    </row>
    <row r="10" spans="1:19" x14ac:dyDescent="0.3">
      <c r="A10" t="s">
        <v>44</v>
      </c>
      <c r="B10" t="s">
        <v>45</v>
      </c>
      <c r="C10">
        <v>32</v>
      </c>
      <c r="D10" t="s">
        <v>8</v>
      </c>
      <c r="E10" t="s">
        <v>8</v>
      </c>
      <c r="F10">
        <v>58</v>
      </c>
      <c r="G10" s="6">
        <v>18</v>
      </c>
      <c r="L10" s="19" t="s">
        <v>79</v>
      </c>
      <c r="M10" s="19" t="s">
        <v>31</v>
      </c>
      <c r="N10">
        <v>25</v>
      </c>
      <c r="O10" t="s">
        <v>8</v>
      </c>
      <c r="P10" t="s">
        <v>9</v>
      </c>
      <c r="Q10">
        <v>30</v>
      </c>
      <c r="R10" s="6">
        <v>2</v>
      </c>
    </row>
    <row r="11" spans="1:19" x14ac:dyDescent="0.3">
      <c r="A11" t="s">
        <v>57</v>
      </c>
      <c r="B11" t="s">
        <v>45</v>
      </c>
      <c r="C11">
        <v>28</v>
      </c>
      <c r="D11" t="s">
        <v>8</v>
      </c>
      <c r="E11" t="s">
        <v>8</v>
      </c>
      <c r="F11">
        <v>44</v>
      </c>
      <c r="G11" s="6">
        <v>18</v>
      </c>
      <c r="L11" s="19" t="s">
        <v>148</v>
      </c>
      <c r="M11" s="19" t="s">
        <v>64</v>
      </c>
      <c r="N11">
        <v>30</v>
      </c>
      <c r="O11" t="s">
        <v>8</v>
      </c>
      <c r="P11" t="s">
        <v>8</v>
      </c>
      <c r="Q11">
        <v>16</v>
      </c>
      <c r="R11" s="6">
        <v>2</v>
      </c>
    </row>
    <row r="12" spans="1:19" x14ac:dyDescent="0.3">
      <c r="A12" t="s">
        <v>73</v>
      </c>
      <c r="B12" t="s">
        <v>74</v>
      </c>
      <c r="C12">
        <v>24</v>
      </c>
      <c r="D12" t="s">
        <v>8</v>
      </c>
      <c r="E12" t="s">
        <v>9</v>
      </c>
      <c r="F12">
        <v>32</v>
      </c>
      <c r="G12" s="6">
        <v>18</v>
      </c>
      <c r="L12" t="s">
        <v>369</v>
      </c>
      <c r="M12" t="s">
        <v>104</v>
      </c>
      <c r="N12">
        <v>19</v>
      </c>
      <c r="O12" t="s">
        <v>8</v>
      </c>
      <c r="P12" t="s">
        <v>9</v>
      </c>
      <c r="Q12">
        <v>5</v>
      </c>
      <c r="R12" s="6">
        <v>5</v>
      </c>
    </row>
    <row r="13" spans="1:19" x14ac:dyDescent="0.3">
      <c r="A13" t="s">
        <v>193</v>
      </c>
      <c r="B13" t="s">
        <v>157</v>
      </c>
      <c r="C13">
        <v>22</v>
      </c>
      <c r="D13" t="s">
        <v>8</v>
      </c>
      <c r="E13" t="s">
        <v>9</v>
      </c>
      <c r="F13">
        <v>12</v>
      </c>
      <c r="G13" s="6">
        <v>18</v>
      </c>
      <c r="L13" t="s">
        <v>239</v>
      </c>
      <c r="M13" t="s">
        <v>55</v>
      </c>
      <c r="N13">
        <v>27</v>
      </c>
      <c r="O13" t="s">
        <v>8</v>
      </c>
      <c r="P13" t="s">
        <v>8</v>
      </c>
      <c r="Q13">
        <v>9</v>
      </c>
      <c r="R13" s="6">
        <v>4</v>
      </c>
    </row>
    <row r="14" spans="1:19" x14ac:dyDescent="0.3">
      <c r="A14" t="s">
        <v>208</v>
      </c>
      <c r="B14" t="s">
        <v>104</v>
      </c>
      <c r="C14">
        <v>25</v>
      </c>
      <c r="D14" t="s">
        <v>8</v>
      </c>
      <c r="E14" t="s">
        <v>21</v>
      </c>
      <c r="F14">
        <v>11</v>
      </c>
      <c r="G14" s="6">
        <v>18</v>
      </c>
      <c r="R14" s="6"/>
    </row>
    <row r="15" spans="1:19" x14ac:dyDescent="0.3">
      <c r="A15" t="s">
        <v>12</v>
      </c>
      <c r="B15" t="s">
        <v>7</v>
      </c>
      <c r="C15">
        <v>29</v>
      </c>
      <c r="D15" t="s">
        <v>8</v>
      </c>
      <c r="E15" t="s">
        <v>9</v>
      </c>
      <c r="F15">
        <v>140</v>
      </c>
      <c r="G15" s="6">
        <v>17</v>
      </c>
      <c r="R15" s="6"/>
    </row>
    <row r="16" spans="1:19" x14ac:dyDescent="0.3">
      <c r="A16" t="s">
        <v>35</v>
      </c>
      <c r="B16" t="s">
        <v>29</v>
      </c>
      <c r="C16">
        <v>21</v>
      </c>
      <c r="D16" t="s">
        <v>8</v>
      </c>
      <c r="E16" t="s">
        <v>8</v>
      </c>
      <c r="F16">
        <v>96</v>
      </c>
      <c r="G16" s="6">
        <v>17</v>
      </c>
      <c r="R16" s="6"/>
    </row>
    <row r="17" spans="1:7" x14ac:dyDescent="0.3">
      <c r="A17" t="s">
        <v>46</v>
      </c>
      <c r="B17" t="s">
        <v>39</v>
      </c>
      <c r="C17">
        <v>25</v>
      </c>
      <c r="D17" t="s">
        <v>8</v>
      </c>
      <c r="E17" t="s">
        <v>8</v>
      </c>
      <c r="F17">
        <v>53</v>
      </c>
      <c r="G17" s="6">
        <v>17</v>
      </c>
    </row>
    <row r="18" spans="1:7" x14ac:dyDescent="0.3">
      <c r="A18" t="s">
        <v>81</v>
      </c>
      <c r="B18" t="s">
        <v>14</v>
      </c>
      <c r="C18">
        <v>24</v>
      </c>
      <c r="D18" t="s">
        <v>8</v>
      </c>
      <c r="E18" t="s">
        <v>34</v>
      </c>
      <c r="F18">
        <v>29</v>
      </c>
      <c r="G18" s="6">
        <v>17</v>
      </c>
    </row>
    <row r="19" spans="1:7" x14ac:dyDescent="0.3">
      <c r="A19" t="s">
        <v>114</v>
      </c>
      <c r="B19" t="s">
        <v>115</v>
      </c>
      <c r="C19">
        <v>25</v>
      </c>
      <c r="D19" t="s">
        <v>8</v>
      </c>
      <c r="E19" t="s">
        <v>9</v>
      </c>
      <c r="F19">
        <v>22</v>
      </c>
      <c r="G19" s="6">
        <v>17</v>
      </c>
    </row>
    <row r="20" spans="1:7" x14ac:dyDescent="0.3">
      <c r="A20" t="s">
        <v>141</v>
      </c>
      <c r="B20" t="s">
        <v>142</v>
      </c>
      <c r="C20">
        <v>28</v>
      </c>
      <c r="D20" t="s">
        <v>8</v>
      </c>
      <c r="E20" t="s">
        <v>9</v>
      </c>
      <c r="F20">
        <v>17</v>
      </c>
      <c r="G20" s="6">
        <v>17</v>
      </c>
    </row>
    <row r="21" spans="1:7" x14ac:dyDescent="0.3">
      <c r="A21" t="s">
        <v>30</v>
      </c>
      <c r="B21" t="s">
        <v>31</v>
      </c>
      <c r="C21">
        <v>26</v>
      </c>
      <c r="D21" t="s">
        <v>8</v>
      </c>
      <c r="E21" t="s">
        <v>9</v>
      </c>
      <c r="F21">
        <v>100</v>
      </c>
      <c r="G21" s="6">
        <v>16</v>
      </c>
    </row>
    <row r="22" spans="1:7" x14ac:dyDescent="0.3">
      <c r="A22" t="s">
        <v>68</v>
      </c>
      <c r="B22" t="s">
        <v>11</v>
      </c>
      <c r="C22">
        <v>33</v>
      </c>
      <c r="D22" t="s">
        <v>8</v>
      </c>
      <c r="E22" t="s">
        <v>8</v>
      </c>
      <c r="F22">
        <v>34</v>
      </c>
      <c r="G22" s="6">
        <v>16</v>
      </c>
    </row>
    <row r="23" spans="1:7" x14ac:dyDescent="0.3">
      <c r="A23" s="19" t="s">
        <v>164</v>
      </c>
      <c r="B23" s="19" t="s">
        <v>94</v>
      </c>
      <c r="C23">
        <v>26</v>
      </c>
      <c r="D23" t="s">
        <v>8</v>
      </c>
      <c r="E23" t="s">
        <v>8</v>
      </c>
      <c r="F23">
        <v>14</v>
      </c>
      <c r="G23" s="6">
        <v>16</v>
      </c>
    </row>
    <row r="24" spans="1:7" x14ac:dyDescent="0.3">
      <c r="A24" s="19" t="s">
        <v>219</v>
      </c>
      <c r="B24" s="19" t="s">
        <v>74</v>
      </c>
      <c r="C24">
        <v>26</v>
      </c>
      <c r="D24" t="s">
        <v>8</v>
      </c>
      <c r="E24" t="s">
        <v>8</v>
      </c>
      <c r="F24">
        <v>10</v>
      </c>
      <c r="G24" s="6">
        <v>16</v>
      </c>
    </row>
    <row r="25" spans="1:7" x14ac:dyDescent="0.3">
      <c r="A25" s="19" t="s">
        <v>373</v>
      </c>
      <c r="B25" s="19" t="s">
        <v>178</v>
      </c>
      <c r="C25">
        <v>26</v>
      </c>
      <c r="D25" t="s">
        <v>8</v>
      </c>
      <c r="E25" t="s">
        <v>34</v>
      </c>
      <c r="F25">
        <v>5</v>
      </c>
      <c r="G25" s="6">
        <v>16</v>
      </c>
    </row>
    <row r="26" spans="1:7" x14ac:dyDescent="0.3">
      <c r="A26" t="s">
        <v>77</v>
      </c>
      <c r="B26" t="s">
        <v>39</v>
      </c>
      <c r="C26">
        <v>26</v>
      </c>
      <c r="D26" t="s">
        <v>8</v>
      </c>
      <c r="E26" t="s">
        <v>8</v>
      </c>
      <c r="F26">
        <v>31</v>
      </c>
      <c r="G26" s="6">
        <v>15</v>
      </c>
    </row>
    <row r="27" spans="1:7" x14ac:dyDescent="0.3">
      <c r="A27" s="19" t="s">
        <v>98</v>
      </c>
      <c r="B27" s="19" t="s">
        <v>19</v>
      </c>
      <c r="C27">
        <v>21</v>
      </c>
      <c r="D27" t="s">
        <v>8</v>
      </c>
      <c r="E27" t="s">
        <v>34</v>
      </c>
      <c r="F27">
        <v>25</v>
      </c>
      <c r="G27" s="6">
        <v>15</v>
      </c>
    </row>
    <row r="28" spans="1:7" x14ac:dyDescent="0.3">
      <c r="A28" s="19" t="s">
        <v>177</v>
      </c>
      <c r="B28" s="19" t="s">
        <v>178</v>
      </c>
      <c r="C28">
        <v>25</v>
      </c>
      <c r="D28" t="s">
        <v>8</v>
      </c>
      <c r="E28" t="s">
        <v>9</v>
      </c>
      <c r="F28">
        <v>13</v>
      </c>
      <c r="G28" s="6">
        <v>15</v>
      </c>
    </row>
    <row r="29" spans="1:7" x14ac:dyDescent="0.3">
      <c r="A29" t="s">
        <v>38</v>
      </c>
      <c r="B29" t="s">
        <v>39</v>
      </c>
      <c r="C29">
        <v>27</v>
      </c>
      <c r="D29" t="s">
        <v>8</v>
      </c>
      <c r="E29" t="s">
        <v>9</v>
      </c>
      <c r="F29">
        <v>66</v>
      </c>
      <c r="G29" s="6">
        <v>14.5</v>
      </c>
    </row>
    <row r="30" spans="1:7" x14ac:dyDescent="0.3">
      <c r="A30" t="s">
        <v>43</v>
      </c>
      <c r="B30" t="s">
        <v>25</v>
      </c>
      <c r="C30">
        <v>27</v>
      </c>
      <c r="D30" t="s">
        <v>8</v>
      </c>
      <c r="E30" t="s">
        <v>8</v>
      </c>
      <c r="F30">
        <v>60</v>
      </c>
      <c r="G30" s="6">
        <v>14</v>
      </c>
    </row>
    <row r="31" spans="1:7" x14ac:dyDescent="0.3">
      <c r="A31" t="s">
        <v>67</v>
      </c>
      <c r="B31" t="s">
        <v>33</v>
      </c>
      <c r="C31">
        <v>29</v>
      </c>
      <c r="D31" t="s">
        <v>8</v>
      </c>
      <c r="E31" t="s">
        <v>9</v>
      </c>
      <c r="F31">
        <v>37</v>
      </c>
      <c r="G31" s="6">
        <v>13.5</v>
      </c>
    </row>
    <row r="32" spans="1:7" x14ac:dyDescent="0.3">
      <c r="A32" s="19" t="s">
        <v>240</v>
      </c>
      <c r="B32" s="19" t="s">
        <v>142</v>
      </c>
      <c r="C32">
        <v>28</v>
      </c>
      <c r="D32" t="s">
        <v>8</v>
      </c>
      <c r="E32" t="s">
        <v>8</v>
      </c>
      <c r="F32">
        <v>9</v>
      </c>
      <c r="G32" s="6">
        <v>13.5</v>
      </c>
    </row>
    <row r="33" spans="1:7" x14ac:dyDescent="0.3">
      <c r="A33" t="s">
        <v>84</v>
      </c>
      <c r="B33" t="s">
        <v>45</v>
      </c>
      <c r="C33">
        <v>27</v>
      </c>
      <c r="D33" t="s">
        <v>8</v>
      </c>
      <c r="E33" t="s">
        <v>9</v>
      </c>
      <c r="F33">
        <v>28</v>
      </c>
      <c r="G33" s="6">
        <v>13</v>
      </c>
    </row>
    <row r="34" spans="1:7" x14ac:dyDescent="0.3">
      <c r="A34" t="s">
        <v>132</v>
      </c>
      <c r="B34" t="s">
        <v>115</v>
      </c>
      <c r="C34">
        <v>23</v>
      </c>
      <c r="D34" t="s">
        <v>8</v>
      </c>
      <c r="E34" t="s">
        <v>9</v>
      </c>
      <c r="F34">
        <v>19</v>
      </c>
      <c r="G34" s="6">
        <v>13</v>
      </c>
    </row>
    <row r="35" spans="1:7" x14ac:dyDescent="0.3">
      <c r="A35" t="s">
        <v>156</v>
      </c>
      <c r="B35" t="s">
        <v>157</v>
      </c>
      <c r="C35">
        <v>24</v>
      </c>
      <c r="D35" t="s">
        <v>8</v>
      </c>
      <c r="E35" t="s">
        <v>34</v>
      </c>
      <c r="F35">
        <v>15</v>
      </c>
      <c r="G35" s="6">
        <v>13</v>
      </c>
    </row>
    <row r="36" spans="1:7" x14ac:dyDescent="0.3">
      <c r="A36" t="s">
        <v>261</v>
      </c>
      <c r="B36" t="s">
        <v>157</v>
      </c>
      <c r="C36">
        <v>23</v>
      </c>
      <c r="D36" t="s">
        <v>8</v>
      </c>
      <c r="E36" t="s">
        <v>34</v>
      </c>
      <c r="F36">
        <v>8</v>
      </c>
      <c r="G36" s="6">
        <v>12</v>
      </c>
    </row>
    <row r="37" spans="1:7" x14ac:dyDescent="0.3">
      <c r="A37" t="s">
        <v>284</v>
      </c>
      <c r="B37" t="s">
        <v>115</v>
      </c>
      <c r="C37">
        <v>23</v>
      </c>
      <c r="D37" t="s">
        <v>8</v>
      </c>
      <c r="E37" t="s">
        <v>8</v>
      </c>
      <c r="F37">
        <v>7</v>
      </c>
      <c r="G37" s="6">
        <v>12</v>
      </c>
    </row>
    <row r="38" spans="1:7" x14ac:dyDescent="0.3">
      <c r="A38" t="s">
        <v>103</v>
      </c>
      <c r="B38" t="s">
        <v>104</v>
      </c>
      <c r="C38">
        <v>25</v>
      </c>
      <c r="D38" t="s">
        <v>8</v>
      </c>
      <c r="E38" t="s">
        <v>9</v>
      </c>
      <c r="F38">
        <v>24</v>
      </c>
      <c r="G38" s="6">
        <v>11</v>
      </c>
    </row>
    <row r="39" spans="1:7" x14ac:dyDescent="0.3">
      <c r="A39" t="s">
        <v>149</v>
      </c>
      <c r="B39" t="s">
        <v>55</v>
      </c>
      <c r="C39">
        <v>30</v>
      </c>
      <c r="D39" t="s">
        <v>8</v>
      </c>
      <c r="E39" t="s">
        <v>8</v>
      </c>
      <c r="F39">
        <v>16</v>
      </c>
      <c r="G39" s="6">
        <v>8</v>
      </c>
    </row>
    <row r="40" spans="1:7" x14ac:dyDescent="0.3">
      <c r="A40" t="s">
        <v>206</v>
      </c>
      <c r="B40" t="s">
        <v>14</v>
      </c>
      <c r="C40">
        <v>29</v>
      </c>
      <c r="D40" t="s">
        <v>8</v>
      </c>
      <c r="E40" t="s">
        <v>34</v>
      </c>
      <c r="F40">
        <v>11</v>
      </c>
      <c r="G40" s="6">
        <v>8</v>
      </c>
    </row>
    <row r="41" spans="1:7" x14ac:dyDescent="0.3">
      <c r="A41" s="19" t="s">
        <v>321</v>
      </c>
      <c r="B41" s="19" t="s">
        <v>115</v>
      </c>
      <c r="C41">
        <v>25</v>
      </c>
      <c r="D41" t="s">
        <v>8</v>
      </c>
      <c r="E41" t="s">
        <v>9</v>
      </c>
      <c r="F41">
        <v>6</v>
      </c>
      <c r="G41" s="6">
        <v>8</v>
      </c>
    </row>
    <row r="42" spans="1:7" x14ac:dyDescent="0.3">
      <c r="A42" t="s">
        <v>126</v>
      </c>
      <c r="B42" t="s">
        <v>45</v>
      </c>
      <c r="C42">
        <v>24</v>
      </c>
      <c r="D42" t="s">
        <v>8</v>
      </c>
      <c r="E42" t="s">
        <v>9</v>
      </c>
      <c r="F42">
        <v>20</v>
      </c>
      <c r="G42" s="6">
        <v>7</v>
      </c>
    </row>
    <row r="43" spans="1:7" x14ac:dyDescent="0.3">
      <c r="A43" t="s">
        <v>150</v>
      </c>
      <c r="B43" t="s">
        <v>33</v>
      </c>
      <c r="C43">
        <v>25</v>
      </c>
      <c r="D43" t="s">
        <v>8</v>
      </c>
      <c r="E43" t="s">
        <v>9</v>
      </c>
      <c r="F43">
        <v>16</v>
      </c>
      <c r="G43" s="6">
        <v>7</v>
      </c>
    </row>
    <row r="44" spans="1:7" x14ac:dyDescent="0.3">
      <c r="A44" t="s">
        <v>147</v>
      </c>
      <c r="B44" t="s">
        <v>55</v>
      </c>
      <c r="C44">
        <v>23</v>
      </c>
      <c r="D44" t="s">
        <v>8</v>
      </c>
      <c r="E44" t="s">
        <v>9</v>
      </c>
      <c r="F44">
        <v>16</v>
      </c>
      <c r="G44" s="6">
        <v>7</v>
      </c>
    </row>
    <row r="45" spans="1:7" x14ac:dyDescent="0.3">
      <c r="A45" t="s">
        <v>62</v>
      </c>
      <c r="B45" t="s">
        <v>11</v>
      </c>
      <c r="C45">
        <v>22</v>
      </c>
      <c r="D45" t="s">
        <v>8</v>
      </c>
      <c r="E45" t="s">
        <v>9</v>
      </c>
      <c r="F45">
        <v>41</v>
      </c>
      <c r="G45" s="6">
        <v>6</v>
      </c>
    </row>
    <row r="46" spans="1:7" x14ac:dyDescent="0.3">
      <c r="A46" t="s">
        <v>238</v>
      </c>
      <c r="B46" t="s">
        <v>178</v>
      </c>
      <c r="C46">
        <v>25</v>
      </c>
      <c r="D46" t="s">
        <v>8</v>
      </c>
      <c r="E46" t="s">
        <v>9</v>
      </c>
      <c r="F46">
        <v>9</v>
      </c>
      <c r="G46" s="6">
        <v>5</v>
      </c>
    </row>
    <row r="47" spans="1:7" x14ac:dyDescent="0.3">
      <c r="A47" s="19" t="s">
        <v>375</v>
      </c>
      <c r="B47" s="19" t="s">
        <v>104</v>
      </c>
      <c r="C47">
        <v>26</v>
      </c>
      <c r="D47" t="s">
        <v>8</v>
      </c>
      <c r="E47" t="s">
        <v>9</v>
      </c>
      <c r="F47">
        <v>5</v>
      </c>
      <c r="G47" s="6">
        <v>5</v>
      </c>
    </row>
    <row r="48" spans="1:7" x14ac:dyDescent="0.3">
      <c r="A48" t="s">
        <v>369</v>
      </c>
      <c r="B48" t="s">
        <v>104</v>
      </c>
      <c r="C48">
        <v>19</v>
      </c>
      <c r="D48" t="s">
        <v>8</v>
      </c>
      <c r="E48" t="s">
        <v>9</v>
      </c>
      <c r="F48">
        <v>5</v>
      </c>
      <c r="G48" s="6">
        <v>5</v>
      </c>
    </row>
    <row r="49" spans="1:7" x14ac:dyDescent="0.3">
      <c r="A49" t="s">
        <v>52</v>
      </c>
      <c r="B49" t="s">
        <v>39</v>
      </c>
      <c r="C49">
        <v>26</v>
      </c>
      <c r="D49" t="s">
        <v>8</v>
      </c>
      <c r="E49" t="s">
        <v>9</v>
      </c>
      <c r="F49">
        <v>48</v>
      </c>
      <c r="G49" s="6">
        <v>4</v>
      </c>
    </row>
    <row r="50" spans="1:7" x14ac:dyDescent="0.3">
      <c r="A50" t="s">
        <v>91</v>
      </c>
      <c r="B50" t="s">
        <v>11</v>
      </c>
      <c r="C50">
        <v>23</v>
      </c>
      <c r="D50" t="s">
        <v>8</v>
      </c>
      <c r="E50" t="s">
        <v>8</v>
      </c>
      <c r="F50">
        <v>27</v>
      </c>
      <c r="G50" s="6">
        <v>4</v>
      </c>
    </row>
    <row r="51" spans="1:7" x14ac:dyDescent="0.3">
      <c r="A51" t="s">
        <v>217</v>
      </c>
      <c r="B51" t="s">
        <v>94</v>
      </c>
      <c r="C51">
        <v>26</v>
      </c>
      <c r="D51" t="s">
        <v>8</v>
      </c>
      <c r="E51" t="s">
        <v>9</v>
      </c>
      <c r="F51">
        <v>10</v>
      </c>
      <c r="G51" s="6">
        <v>4</v>
      </c>
    </row>
    <row r="52" spans="1:7" x14ac:dyDescent="0.3">
      <c r="A52" t="s">
        <v>239</v>
      </c>
      <c r="B52" t="s">
        <v>55</v>
      </c>
      <c r="C52">
        <v>27</v>
      </c>
      <c r="D52" t="s">
        <v>8</v>
      </c>
      <c r="E52" t="s">
        <v>8</v>
      </c>
      <c r="F52">
        <v>9</v>
      </c>
      <c r="G52" s="6">
        <v>4</v>
      </c>
    </row>
    <row r="53" spans="1:7" x14ac:dyDescent="0.3">
      <c r="A53" t="s">
        <v>367</v>
      </c>
      <c r="B53" t="s">
        <v>142</v>
      </c>
      <c r="C53">
        <v>19</v>
      </c>
      <c r="D53" t="s">
        <v>8</v>
      </c>
      <c r="E53" t="s">
        <v>8</v>
      </c>
      <c r="F53">
        <v>5</v>
      </c>
      <c r="G53" s="6">
        <v>3.5</v>
      </c>
    </row>
    <row r="54" spans="1:7" x14ac:dyDescent="0.3">
      <c r="A54" t="s">
        <v>410</v>
      </c>
      <c r="B54" t="s">
        <v>142</v>
      </c>
      <c r="C54">
        <v>21</v>
      </c>
      <c r="D54" t="s">
        <v>8</v>
      </c>
      <c r="E54" t="s">
        <v>9</v>
      </c>
      <c r="F54">
        <v>4</v>
      </c>
      <c r="G54" s="6">
        <v>2.5</v>
      </c>
    </row>
    <row r="55" spans="1:7" x14ac:dyDescent="0.3">
      <c r="A55" s="19" t="s">
        <v>53</v>
      </c>
      <c r="B55" s="19" t="s">
        <v>7</v>
      </c>
      <c r="C55">
        <v>21</v>
      </c>
      <c r="D55" t="s">
        <v>8</v>
      </c>
      <c r="E55" t="s">
        <v>9</v>
      </c>
      <c r="F55">
        <v>47</v>
      </c>
      <c r="G55" s="6">
        <v>2</v>
      </c>
    </row>
    <row r="56" spans="1:7" x14ac:dyDescent="0.3">
      <c r="A56" s="19" t="s">
        <v>79</v>
      </c>
      <c r="B56" s="19" t="s">
        <v>31</v>
      </c>
      <c r="C56">
        <v>25</v>
      </c>
      <c r="D56" t="s">
        <v>8</v>
      </c>
      <c r="E56" t="s">
        <v>9</v>
      </c>
      <c r="F56">
        <v>30</v>
      </c>
      <c r="G56" s="6">
        <v>2</v>
      </c>
    </row>
    <row r="57" spans="1:7" x14ac:dyDescent="0.3">
      <c r="A57" t="s">
        <v>179</v>
      </c>
      <c r="B57" t="s">
        <v>25</v>
      </c>
      <c r="C57">
        <v>29</v>
      </c>
      <c r="D57" t="s">
        <v>8</v>
      </c>
      <c r="E57" t="s">
        <v>8</v>
      </c>
      <c r="F57">
        <v>13</v>
      </c>
      <c r="G57" s="6">
        <v>2</v>
      </c>
    </row>
    <row r="58" spans="1:7" x14ac:dyDescent="0.3">
      <c r="A58" s="19" t="s">
        <v>148</v>
      </c>
      <c r="B58" s="19" t="s">
        <v>64</v>
      </c>
      <c r="C58">
        <v>30</v>
      </c>
      <c r="D58" t="s">
        <v>8</v>
      </c>
      <c r="E58" t="s">
        <v>8</v>
      </c>
      <c r="F58">
        <v>16</v>
      </c>
      <c r="G58" s="6">
        <v>2</v>
      </c>
    </row>
    <row r="59" spans="1:7" x14ac:dyDescent="0.3">
      <c r="A59" t="s">
        <v>241</v>
      </c>
      <c r="B59" t="s">
        <v>64</v>
      </c>
      <c r="C59">
        <v>35</v>
      </c>
      <c r="D59" t="s">
        <v>8</v>
      </c>
      <c r="E59" t="s">
        <v>9</v>
      </c>
      <c r="F59">
        <v>9</v>
      </c>
      <c r="G59" s="6">
        <v>1</v>
      </c>
    </row>
    <row r="60" spans="1:7" x14ac:dyDescent="0.3">
      <c r="A60" t="s">
        <v>127</v>
      </c>
      <c r="B60" t="s">
        <v>29</v>
      </c>
      <c r="C60">
        <v>26</v>
      </c>
      <c r="D60" t="s">
        <v>8</v>
      </c>
      <c r="E60" t="s">
        <v>9</v>
      </c>
      <c r="F60">
        <v>20</v>
      </c>
      <c r="G60" s="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6DA0-C765-46E8-B261-9E462D7323AC}">
  <dimension ref="A1:H80"/>
  <sheetViews>
    <sheetView topLeftCell="A31" workbookViewId="0">
      <selection activeCell="A55" sqref="A55"/>
    </sheetView>
  </sheetViews>
  <sheetFormatPr defaultRowHeight="14.4" x14ac:dyDescent="0.3"/>
  <cols>
    <col min="1" max="1" width="21.21875" customWidth="1"/>
    <col min="7" max="7" width="8.88671875" style="18"/>
  </cols>
  <sheetData>
    <row r="1" spans="1:8" x14ac:dyDescent="0.3">
      <c r="A1" t="s">
        <v>15</v>
      </c>
      <c r="B1" t="s">
        <v>7</v>
      </c>
      <c r="C1">
        <v>29</v>
      </c>
      <c r="D1" t="s">
        <v>16</v>
      </c>
      <c r="E1" t="s">
        <v>17</v>
      </c>
      <c r="F1">
        <v>133</v>
      </c>
      <c r="G1" s="18">
        <v>19</v>
      </c>
      <c r="H1">
        <v>2</v>
      </c>
    </row>
    <row r="2" spans="1:8" x14ac:dyDescent="0.3">
      <c r="A2" t="s">
        <v>251</v>
      </c>
      <c r="B2" t="s">
        <v>178</v>
      </c>
      <c r="C2">
        <v>22</v>
      </c>
      <c r="D2" t="s">
        <v>16</v>
      </c>
      <c r="E2" t="s">
        <v>88</v>
      </c>
      <c r="F2">
        <v>9</v>
      </c>
      <c r="G2" s="18">
        <v>19</v>
      </c>
      <c r="H2">
        <v>0</v>
      </c>
    </row>
    <row r="3" spans="1:8" x14ac:dyDescent="0.3">
      <c r="A3" t="s">
        <v>59</v>
      </c>
      <c r="B3" t="s">
        <v>11</v>
      </c>
      <c r="C3">
        <v>28</v>
      </c>
      <c r="D3" t="s">
        <v>16</v>
      </c>
      <c r="E3" t="s">
        <v>60</v>
      </c>
      <c r="F3">
        <v>44</v>
      </c>
      <c r="G3" s="18">
        <v>18</v>
      </c>
      <c r="H3">
        <v>0</v>
      </c>
    </row>
    <row r="4" spans="1:8" x14ac:dyDescent="0.3">
      <c r="A4" t="s">
        <v>61</v>
      </c>
      <c r="B4" t="s">
        <v>11</v>
      </c>
      <c r="C4">
        <v>23</v>
      </c>
      <c r="D4" t="s">
        <v>16</v>
      </c>
      <c r="E4" t="s">
        <v>60</v>
      </c>
      <c r="F4">
        <v>42</v>
      </c>
      <c r="G4" s="18">
        <v>18</v>
      </c>
      <c r="H4">
        <v>0</v>
      </c>
    </row>
    <row r="5" spans="1:8" x14ac:dyDescent="0.3">
      <c r="A5" t="s">
        <v>87</v>
      </c>
      <c r="B5" t="s">
        <v>7</v>
      </c>
      <c r="C5">
        <v>31</v>
      </c>
      <c r="D5" t="s">
        <v>16</v>
      </c>
      <c r="E5" t="s">
        <v>88</v>
      </c>
      <c r="F5">
        <v>28</v>
      </c>
      <c r="G5" s="18">
        <v>18</v>
      </c>
      <c r="H5">
        <v>0</v>
      </c>
    </row>
    <row r="6" spans="1:8" x14ac:dyDescent="0.3">
      <c r="A6" t="s">
        <v>101</v>
      </c>
      <c r="B6" t="s">
        <v>11</v>
      </c>
      <c r="C6">
        <v>30</v>
      </c>
      <c r="D6" t="s">
        <v>16</v>
      </c>
      <c r="E6" t="s">
        <v>88</v>
      </c>
      <c r="F6">
        <v>25</v>
      </c>
      <c r="G6" s="18">
        <v>18</v>
      </c>
      <c r="H6">
        <v>0</v>
      </c>
    </row>
    <row r="7" spans="1:8" x14ac:dyDescent="0.3">
      <c r="A7" t="s">
        <v>118</v>
      </c>
      <c r="B7" t="s">
        <v>7</v>
      </c>
      <c r="C7">
        <v>27</v>
      </c>
      <c r="D7" t="s">
        <v>16</v>
      </c>
      <c r="E7" t="s">
        <v>88</v>
      </c>
      <c r="F7">
        <v>22</v>
      </c>
      <c r="G7" s="18">
        <v>18</v>
      </c>
      <c r="H7">
        <v>0</v>
      </c>
    </row>
    <row r="8" spans="1:8" x14ac:dyDescent="0.3">
      <c r="A8" t="s">
        <v>100</v>
      </c>
      <c r="B8" t="s">
        <v>29</v>
      </c>
      <c r="C8">
        <v>29</v>
      </c>
      <c r="D8" t="s">
        <v>16</v>
      </c>
      <c r="E8" t="s">
        <v>88</v>
      </c>
      <c r="F8">
        <v>25</v>
      </c>
      <c r="G8" s="18">
        <v>18</v>
      </c>
      <c r="H8">
        <v>0</v>
      </c>
    </row>
    <row r="9" spans="1:8" x14ac:dyDescent="0.3">
      <c r="A9" t="s">
        <v>106</v>
      </c>
      <c r="B9" t="s">
        <v>25</v>
      </c>
      <c r="C9">
        <v>25</v>
      </c>
      <c r="D9" t="s">
        <v>16</v>
      </c>
      <c r="E9" t="s">
        <v>88</v>
      </c>
      <c r="F9">
        <v>24</v>
      </c>
      <c r="G9" s="18">
        <v>18</v>
      </c>
      <c r="H9">
        <v>0</v>
      </c>
    </row>
    <row r="10" spans="1:8" x14ac:dyDescent="0.3">
      <c r="A10" t="s">
        <v>107</v>
      </c>
      <c r="B10" t="s">
        <v>14</v>
      </c>
      <c r="C10">
        <v>32</v>
      </c>
      <c r="D10" t="s">
        <v>16</v>
      </c>
      <c r="E10" t="s">
        <v>88</v>
      </c>
      <c r="F10">
        <v>24</v>
      </c>
      <c r="G10" s="18">
        <v>18</v>
      </c>
      <c r="H10">
        <v>0</v>
      </c>
    </row>
    <row r="11" spans="1:8" x14ac:dyDescent="0.3">
      <c r="A11" t="s">
        <v>109</v>
      </c>
      <c r="B11" t="s">
        <v>42</v>
      </c>
      <c r="C11">
        <v>26</v>
      </c>
      <c r="D11" t="s">
        <v>16</v>
      </c>
      <c r="E11" t="s">
        <v>88</v>
      </c>
      <c r="F11">
        <v>23</v>
      </c>
      <c r="G11" s="18">
        <v>18</v>
      </c>
      <c r="H11">
        <v>2</v>
      </c>
    </row>
    <row r="12" spans="1:8" x14ac:dyDescent="0.3">
      <c r="A12" t="s">
        <v>117</v>
      </c>
      <c r="B12" t="s">
        <v>11</v>
      </c>
      <c r="C12">
        <v>27</v>
      </c>
      <c r="D12" t="s">
        <v>16</v>
      </c>
      <c r="E12" t="s">
        <v>88</v>
      </c>
      <c r="F12">
        <v>22</v>
      </c>
      <c r="G12" s="18">
        <v>18</v>
      </c>
      <c r="H12">
        <v>0</v>
      </c>
    </row>
    <row r="13" spans="1:8" x14ac:dyDescent="0.3">
      <c r="A13" t="s">
        <v>130</v>
      </c>
      <c r="B13" t="s">
        <v>14</v>
      </c>
      <c r="C13">
        <v>33</v>
      </c>
      <c r="D13" t="s">
        <v>16</v>
      </c>
      <c r="E13" t="s">
        <v>131</v>
      </c>
      <c r="F13">
        <v>20</v>
      </c>
      <c r="G13" s="18">
        <v>18</v>
      </c>
      <c r="H13">
        <v>0</v>
      </c>
    </row>
    <row r="14" spans="1:8" x14ac:dyDescent="0.3">
      <c r="A14" t="s">
        <v>129</v>
      </c>
      <c r="B14" t="s">
        <v>74</v>
      </c>
      <c r="C14">
        <v>27</v>
      </c>
      <c r="D14" t="s">
        <v>16</v>
      </c>
      <c r="E14" t="s">
        <v>88</v>
      </c>
      <c r="F14">
        <v>20</v>
      </c>
      <c r="G14" s="18">
        <v>18</v>
      </c>
      <c r="H14">
        <v>2</v>
      </c>
    </row>
    <row r="15" spans="1:8" x14ac:dyDescent="0.3">
      <c r="A15" t="s">
        <v>145</v>
      </c>
      <c r="B15" t="s">
        <v>74</v>
      </c>
      <c r="C15">
        <v>28</v>
      </c>
      <c r="D15" t="s">
        <v>16</v>
      </c>
      <c r="E15" t="s">
        <v>146</v>
      </c>
      <c r="F15">
        <v>17</v>
      </c>
      <c r="G15" s="18">
        <v>18</v>
      </c>
      <c r="H15">
        <v>0</v>
      </c>
    </row>
    <row r="16" spans="1:8" x14ac:dyDescent="0.3">
      <c r="A16" t="s">
        <v>155</v>
      </c>
      <c r="B16" t="s">
        <v>25</v>
      </c>
      <c r="C16">
        <v>26</v>
      </c>
      <c r="D16" t="s">
        <v>16</v>
      </c>
      <c r="E16" t="s">
        <v>88</v>
      </c>
      <c r="F16">
        <v>16</v>
      </c>
      <c r="G16" s="18">
        <v>18</v>
      </c>
      <c r="H16">
        <v>0</v>
      </c>
    </row>
    <row r="17" spans="1:8" x14ac:dyDescent="0.3">
      <c r="A17" t="s">
        <v>173</v>
      </c>
      <c r="B17" t="s">
        <v>29</v>
      </c>
      <c r="C17">
        <v>26</v>
      </c>
      <c r="D17" t="s">
        <v>16</v>
      </c>
      <c r="E17" t="s">
        <v>174</v>
      </c>
      <c r="F17">
        <v>14</v>
      </c>
      <c r="G17" s="18">
        <v>18</v>
      </c>
      <c r="H17">
        <v>0</v>
      </c>
    </row>
    <row r="18" spans="1:8" x14ac:dyDescent="0.3">
      <c r="A18" t="s">
        <v>175</v>
      </c>
      <c r="B18" t="s">
        <v>31</v>
      </c>
      <c r="C18">
        <v>24</v>
      </c>
      <c r="D18" t="s">
        <v>16</v>
      </c>
      <c r="E18" t="s">
        <v>88</v>
      </c>
      <c r="F18">
        <v>14</v>
      </c>
      <c r="G18" s="18">
        <v>18</v>
      </c>
      <c r="H18">
        <v>0</v>
      </c>
    </row>
    <row r="19" spans="1:8" x14ac:dyDescent="0.3">
      <c r="A19" t="s">
        <v>191</v>
      </c>
      <c r="B19" t="s">
        <v>25</v>
      </c>
      <c r="C19">
        <v>27</v>
      </c>
      <c r="D19" t="s">
        <v>16</v>
      </c>
      <c r="E19" t="s">
        <v>88</v>
      </c>
      <c r="F19">
        <v>13</v>
      </c>
      <c r="G19" s="18">
        <v>18</v>
      </c>
      <c r="H19">
        <v>0</v>
      </c>
    </row>
    <row r="20" spans="1:8" x14ac:dyDescent="0.3">
      <c r="A20" t="s">
        <v>202</v>
      </c>
      <c r="B20" t="s">
        <v>33</v>
      </c>
      <c r="C20">
        <v>26</v>
      </c>
      <c r="D20" t="s">
        <v>16</v>
      </c>
      <c r="E20" t="s">
        <v>188</v>
      </c>
      <c r="F20">
        <v>12</v>
      </c>
      <c r="G20" s="18">
        <v>18</v>
      </c>
      <c r="H20">
        <v>1</v>
      </c>
    </row>
    <row r="21" spans="1:8" x14ac:dyDescent="0.3">
      <c r="A21" t="s">
        <v>214</v>
      </c>
      <c r="B21" t="s">
        <v>115</v>
      </c>
      <c r="C21">
        <v>27</v>
      </c>
      <c r="D21" t="s">
        <v>16</v>
      </c>
      <c r="E21" t="s">
        <v>215</v>
      </c>
      <c r="F21">
        <v>11</v>
      </c>
      <c r="G21" s="18">
        <v>18</v>
      </c>
      <c r="H21">
        <v>0</v>
      </c>
    </row>
    <row r="22" spans="1:8" x14ac:dyDescent="0.3">
      <c r="A22" s="19" t="s">
        <v>216</v>
      </c>
      <c r="B22" t="s">
        <v>55</v>
      </c>
      <c r="C22">
        <v>28</v>
      </c>
      <c r="D22" t="s">
        <v>16</v>
      </c>
      <c r="E22" t="s">
        <v>88</v>
      </c>
      <c r="F22">
        <v>11</v>
      </c>
      <c r="G22" s="18">
        <v>18</v>
      </c>
      <c r="H22">
        <v>0</v>
      </c>
    </row>
    <row r="23" spans="1:8" x14ac:dyDescent="0.3">
      <c r="A23" t="s">
        <v>213</v>
      </c>
      <c r="B23" t="s">
        <v>74</v>
      </c>
      <c r="C23">
        <v>22</v>
      </c>
      <c r="D23" t="s">
        <v>16</v>
      </c>
      <c r="E23" t="s">
        <v>131</v>
      </c>
      <c r="F23">
        <v>11</v>
      </c>
      <c r="G23" s="18">
        <v>18</v>
      </c>
      <c r="H23">
        <v>0</v>
      </c>
    </row>
    <row r="24" spans="1:8" x14ac:dyDescent="0.3">
      <c r="A24" s="19" t="s">
        <v>232</v>
      </c>
      <c r="B24" t="s">
        <v>45</v>
      </c>
      <c r="C24">
        <v>26</v>
      </c>
      <c r="D24" t="s">
        <v>16</v>
      </c>
      <c r="E24" t="s">
        <v>88</v>
      </c>
      <c r="F24">
        <v>10</v>
      </c>
      <c r="G24" s="18">
        <v>18</v>
      </c>
      <c r="H24">
        <v>0</v>
      </c>
    </row>
    <row r="25" spans="1:8" x14ac:dyDescent="0.3">
      <c r="A25" s="19" t="s">
        <v>237</v>
      </c>
      <c r="B25" t="s">
        <v>55</v>
      </c>
      <c r="C25">
        <v>34</v>
      </c>
      <c r="D25" t="s">
        <v>16</v>
      </c>
      <c r="E25" t="s">
        <v>174</v>
      </c>
      <c r="F25">
        <v>10</v>
      </c>
      <c r="G25" s="18">
        <v>18</v>
      </c>
      <c r="H25">
        <v>0</v>
      </c>
    </row>
    <row r="26" spans="1:8" x14ac:dyDescent="0.3">
      <c r="A26" t="s">
        <v>234</v>
      </c>
      <c r="B26" t="s">
        <v>42</v>
      </c>
      <c r="C26">
        <v>31</v>
      </c>
      <c r="D26" t="s">
        <v>16</v>
      </c>
      <c r="E26" t="s">
        <v>131</v>
      </c>
      <c r="F26">
        <v>10</v>
      </c>
      <c r="G26" s="18">
        <v>18</v>
      </c>
      <c r="H26">
        <v>0</v>
      </c>
    </row>
    <row r="27" spans="1:8" x14ac:dyDescent="0.3">
      <c r="A27" t="s">
        <v>275</v>
      </c>
      <c r="B27" t="s">
        <v>33</v>
      </c>
      <c r="C27">
        <v>27</v>
      </c>
      <c r="D27" t="s">
        <v>16</v>
      </c>
      <c r="E27" t="s">
        <v>146</v>
      </c>
      <c r="F27">
        <v>8</v>
      </c>
      <c r="G27" s="18">
        <v>18</v>
      </c>
      <c r="H27">
        <v>0</v>
      </c>
    </row>
    <row r="28" spans="1:8" x14ac:dyDescent="0.3">
      <c r="A28" t="s">
        <v>273</v>
      </c>
      <c r="B28" t="s">
        <v>142</v>
      </c>
      <c r="C28">
        <v>28</v>
      </c>
      <c r="D28" t="s">
        <v>16</v>
      </c>
      <c r="E28" t="s">
        <v>188</v>
      </c>
      <c r="F28">
        <v>8</v>
      </c>
      <c r="G28" s="18">
        <v>18</v>
      </c>
      <c r="H28">
        <v>0</v>
      </c>
    </row>
    <row r="29" spans="1:8" x14ac:dyDescent="0.3">
      <c r="A29" t="s">
        <v>308</v>
      </c>
      <c r="B29" t="s">
        <v>94</v>
      </c>
      <c r="C29">
        <v>25</v>
      </c>
      <c r="D29" t="s">
        <v>16</v>
      </c>
      <c r="E29" t="s">
        <v>88</v>
      </c>
      <c r="F29">
        <v>7</v>
      </c>
      <c r="G29" s="18">
        <v>18</v>
      </c>
      <c r="H29">
        <v>0</v>
      </c>
    </row>
    <row r="30" spans="1:8" x14ac:dyDescent="0.3">
      <c r="A30" s="19" t="s">
        <v>319</v>
      </c>
      <c r="B30" t="s">
        <v>178</v>
      </c>
      <c r="C30">
        <v>26</v>
      </c>
      <c r="D30" t="s">
        <v>16</v>
      </c>
      <c r="E30" t="s">
        <v>188</v>
      </c>
      <c r="F30">
        <v>7</v>
      </c>
      <c r="G30" s="18">
        <v>18</v>
      </c>
      <c r="H30">
        <v>1</v>
      </c>
    </row>
    <row r="31" spans="1:8" x14ac:dyDescent="0.3">
      <c r="A31" s="19" t="s">
        <v>311</v>
      </c>
      <c r="B31" t="s">
        <v>74</v>
      </c>
      <c r="C31">
        <v>24</v>
      </c>
      <c r="D31" t="s">
        <v>16</v>
      </c>
      <c r="E31" t="s">
        <v>88</v>
      </c>
      <c r="F31">
        <v>7</v>
      </c>
      <c r="G31" s="18">
        <v>18</v>
      </c>
      <c r="H31">
        <v>0</v>
      </c>
    </row>
    <row r="32" spans="1:8" x14ac:dyDescent="0.3">
      <c r="A32" s="19" t="s">
        <v>315</v>
      </c>
      <c r="B32" t="s">
        <v>104</v>
      </c>
      <c r="C32">
        <v>24</v>
      </c>
      <c r="D32" t="s">
        <v>16</v>
      </c>
      <c r="E32" t="s">
        <v>171</v>
      </c>
      <c r="F32">
        <v>7</v>
      </c>
      <c r="G32" s="18">
        <v>18</v>
      </c>
      <c r="H32">
        <v>0</v>
      </c>
    </row>
    <row r="33" spans="1:8" x14ac:dyDescent="0.3">
      <c r="A33" t="s">
        <v>312</v>
      </c>
      <c r="B33" t="s">
        <v>64</v>
      </c>
      <c r="C33">
        <v>26</v>
      </c>
      <c r="D33" t="s">
        <v>16</v>
      </c>
      <c r="E33" t="s">
        <v>131</v>
      </c>
      <c r="F33">
        <v>7</v>
      </c>
      <c r="G33" s="18">
        <v>18</v>
      </c>
      <c r="H33">
        <v>0</v>
      </c>
    </row>
    <row r="34" spans="1:8" x14ac:dyDescent="0.3">
      <c r="A34" t="s">
        <v>354</v>
      </c>
      <c r="B34" t="s">
        <v>64</v>
      </c>
      <c r="C34">
        <v>21</v>
      </c>
      <c r="D34" t="s">
        <v>16</v>
      </c>
      <c r="E34" t="s">
        <v>88</v>
      </c>
      <c r="F34">
        <v>6</v>
      </c>
      <c r="G34" s="18">
        <v>18</v>
      </c>
      <c r="H34">
        <v>0</v>
      </c>
    </row>
    <row r="35" spans="1:8" x14ac:dyDescent="0.3">
      <c r="A35" t="s">
        <v>359</v>
      </c>
      <c r="B35" t="s">
        <v>42</v>
      </c>
      <c r="C35">
        <v>32</v>
      </c>
      <c r="D35" t="s">
        <v>16</v>
      </c>
      <c r="E35" t="s">
        <v>188</v>
      </c>
      <c r="F35">
        <v>6</v>
      </c>
      <c r="G35" s="18">
        <v>18</v>
      </c>
      <c r="H35">
        <v>0</v>
      </c>
    </row>
    <row r="36" spans="1:8" x14ac:dyDescent="0.3">
      <c r="A36" t="s">
        <v>349</v>
      </c>
      <c r="B36" t="s">
        <v>178</v>
      </c>
      <c r="C36">
        <v>24</v>
      </c>
      <c r="D36" t="s">
        <v>16</v>
      </c>
      <c r="E36" t="s">
        <v>131</v>
      </c>
      <c r="F36">
        <v>6</v>
      </c>
      <c r="G36" s="18">
        <v>18</v>
      </c>
      <c r="H36">
        <v>0</v>
      </c>
    </row>
    <row r="37" spans="1:8" x14ac:dyDescent="0.3">
      <c r="A37" t="s">
        <v>404</v>
      </c>
      <c r="B37" t="s">
        <v>142</v>
      </c>
      <c r="C37">
        <v>25</v>
      </c>
      <c r="D37" t="s">
        <v>16</v>
      </c>
      <c r="E37" t="s">
        <v>146</v>
      </c>
      <c r="F37">
        <v>5</v>
      </c>
      <c r="G37" s="18">
        <v>18</v>
      </c>
      <c r="H37">
        <v>0</v>
      </c>
    </row>
    <row r="38" spans="1:8" x14ac:dyDescent="0.3">
      <c r="A38" t="s">
        <v>407</v>
      </c>
      <c r="B38" t="s">
        <v>42</v>
      </c>
      <c r="C38">
        <v>35</v>
      </c>
      <c r="D38" t="s">
        <v>16</v>
      </c>
      <c r="E38" t="s">
        <v>88</v>
      </c>
      <c r="F38">
        <v>5</v>
      </c>
      <c r="G38" s="18">
        <v>18</v>
      </c>
      <c r="H38">
        <v>0</v>
      </c>
    </row>
    <row r="39" spans="1:8" x14ac:dyDescent="0.3">
      <c r="A39" t="s">
        <v>428</v>
      </c>
      <c r="B39" t="s">
        <v>94</v>
      </c>
      <c r="C39">
        <v>24</v>
      </c>
      <c r="D39" t="s">
        <v>16</v>
      </c>
      <c r="E39" t="s">
        <v>88</v>
      </c>
      <c r="F39">
        <v>4</v>
      </c>
      <c r="G39" s="18">
        <v>18</v>
      </c>
      <c r="H39">
        <v>0</v>
      </c>
    </row>
    <row r="40" spans="1:8" x14ac:dyDescent="0.3">
      <c r="A40" t="s">
        <v>425</v>
      </c>
      <c r="B40" t="s">
        <v>115</v>
      </c>
      <c r="C40">
        <v>23</v>
      </c>
      <c r="D40" t="s">
        <v>16</v>
      </c>
      <c r="E40" t="s">
        <v>88</v>
      </c>
      <c r="F40">
        <v>4</v>
      </c>
      <c r="G40" s="18">
        <v>18</v>
      </c>
      <c r="H40">
        <v>0</v>
      </c>
    </row>
    <row r="41" spans="1:8" x14ac:dyDescent="0.3">
      <c r="A41" s="19" t="s">
        <v>154</v>
      </c>
      <c r="B41" t="s">
        <v>19</v>
      </c>
      <c r="C41">
        <v>21</v>
      </c>
      <c r="D41" t="s">
        <v>16</v>
      </c>
      <c r="E41" t="s">
        <v>88</v>
      </c>
      <c r="F41">
        <v>16</v>
      </c>
      <c r="G41" s="18">
        <v>17.5</v>
      </c>
      <c r="H41">
        <v>0</v>
      </c>
    </row>
    <row r="42" spans="1:8" x14ac:dyDescent="0.3">
      <c r="A42" t="s">
        <v>110</v>
      </c>
      <c r="B42" t="s">
        <v>29</v>
      </c>
      <c r="C42">
        <v>26</v>
      </c>
      <c r="D42" t="s">
        <v>16</v>
      </c>
      <c r="E42" t="s">
        <v>111</v>
      </c>
      <c r="F42">
        <v>23</v>
      </c>
      <c r="G42" s="18">
        <v>17</v>
      </c>
      <c r="H42">
        <v>0</v>
      </c>
    </row>
    <row r="43" spans="1:8" x14ac:dyDescent="0.3">
      <c r="A43" t="s">
        <v>169</v>
      </c>
      <c r="B43" t="s">
        <v>19</v>
      </c>
      <c r="C43">
        <v>24</v>
      </c>
      <c r="D43" t="s">
        <v>16</v>
      </c>
      <c r="E43" t="s">
        <v>131</v>
      </c>
      <c r="F43">
        <v>14</v>
      </c>
      <c r="G43" s="18">
        <v>17</v>
      </c>
      <c r="H43">
        <v>0</v>
      </c>
    </row>
    <row r="44" spans="1:8" x14ac:dyDescent="0.3">
      <c r="A44" t="s">
        <v>236</v>
      </c>
      <c r="B44" t="s">
        <v>104</v>
      </c>
      <c r="C44">
        <v>32</v>
      </c>
      <c r="D44" t="s">
        <v>16</v>
      </c>
      <c r="E44" t="s">
        <v>88</v>
      </c>
      <c r="F44">
        <v>10</v>
      </c>
      <c r="G44" s="18">
        <v>17</v>
      </c>
      <c r="H44">
        <v>1</v>
      </c>
    </row>
    <row r="45" spans="1:8" x14ac:dyDescent="0.3">
      <c r="A45" s="19" t="s">
        <v>249</v>
      </c>
      <c r="B45" t="s">
        <v>31</v>
      </c>
      <c r="C45">
        <v>20</v>
      </c>
      <c r="D45" t="s">
        <v>16</v>
      </c>
      <c r="E45" t="s">
        <v>146</v>
      </c>
      <c r="F45">
        <v>9</v>
      </c>
      <c r="G45" s="18">
        <v>17</v>
      </c>
      <c r="H45">
        <v>0</v>
      </c>
    </row>
    <row r="46" spans="1:8" x14ac:dyDescent="0.3">
      <c r="A46" s="19" t="s">
        <v>317</v>
      </c>
      <c r="B46" t="s">
        <v>157</v>
      </c>
      <c r="C46">
        <v>25</v>
      </c>
      <c r="D46" t="s">
        <v>16</v>
      </c>
      <c r="E46" t="s">
        <v>88</v>
      </c>
      <c r="F46">
        <v>7</v>
      </c>
      <c r="G46" s="18">
        <v>17</v>
      </c>
      <c r="H46">
        <v>0</v>
      </c>
    </row>
    <row r="47" spans="1:8" x14ac:dyDescent="0.3">
      <c r="A47" s="19" t="s">
        <v>356</v>
      </c>
      <c r="B47" t="s">
        <v>142</v>
      </c>
      <c r="C47">
        <v>27</v>
      </c>
      <c r="D47" t="s">
        <v>16</v>
      </c>
      <c r="E47" t="s">
        <v>174</v>
      </c>
      <c r="F47">
        <v>6</v>
      </c>
      <c r="G47" s="18">
        <v>17</v>
      </c>
      <c r="H47">
        <v>0</v>
      </c>
    </row>
    <row r="48" spans="1:8" x14ac:dyDescent="0.3">
      <c r="A48" t="s">
        <v>189</v>
      </c>
      <c r="B48" t="s">
        <v>19</v>
      </c>
      <c r="C48">
        <v>27</v>
      </c>
      <c r="D48" t="s">
        <v>16</v>
      </c>
      <c r="E48" t="s">
        <v>111</v>
      </c>
      <c r="F48">
        <v>13</v>
      </c>
      <c r="G48" s="18">
        <v>16.5</v>
      </c>
      <c r="H48">
        <v>0</v>
      </c>
    </row>
    <row r="49" spans="1:8" x14ac:dyDescent="0.3">
      <c r="A49" t="s">
        <v>172</v>
      </c>
      <c r="B49" t="s">
        <v>39</v>
      </c>
      <c r="C49">
        <v>23</v>
      </c>
      <c r="D49" t="s">
        <v>16</v>
      </c>
      <c r="E49" t="s">
        <v>88</v>
      </c>
      <c r="F49">
        <v>14</v>
      </c>
      <c r="G49" s="18">
        <v>16.5</v>
      </c>
      <c r="H49">
        <v>0</v>
      </c>
    </row>
    <row r="50" spans="1:8" x14ac:dyDescent="0.3">
      <c r="A50" t="s">
        <v>201</v>
      </c>
      <c r="B50" t="s">
        <v>115</v>
      </c>
      <c r="C50">
        <v>28</v>
      </c>
      <c r="D50" t="s">
        <v>16</v>
      </c>
      <c r="E50" t="s">
        <v>188</v>
      </c>
      <c r="F50">
        <v>12</v>
      </c>
      <c r="G50" s="18">
        <v>16</v>
      </c>
      <c r="H50">
        <v>2</v>
      </c>
    </row>
    <row r="51" spans="1:8" x14ac:dyDescent="0.3">
      <c r="A51" t="s">
        <v>233</v>
      </c>
      <c r="B51" t="s">
        <v>39</v>
      </c>
      <c r="C51">
        <v>24</v>
      </c>
      <c r="D51" t="s">
        <v>16</v>
      </c>
      <c r="E51" t="s">
        <v>111</v>
      </c>
      <c r="F51">
        <v>10</v>
      </c>
      <c r="G51" s="18">
        <v>16</v>
      </c>
      <c r="H51">
        <v>0</v>
      </c>
    </row>
    <row r="52" spans="1:8" x14ac:dyDescent="0.3">
      <c r="A52" t="s">
        <v>235</v>
      </c>
      <c r="B52" t="s">
        <v>33</v>
      </c>
      <c r="C52">
        <v>27</v>
      </c>
      <c r="D52" t="s">
        <v>16</v>
      </c>
      <c r="E52" t="s">
        <v>131</v>
      </c>
      <c r="F52">
        <v>10</v>
      </c>
      <c r="G52" s="18">
        <v>16</v>
      </c>
      <c r="H52">
        <v>0</v>
      </c>
    </row>
    <row r="53" spans="1:8" x14ac:dyDescent="0.3">
      <c r="A53" t="s">
        <v>399</v>
      </c>
      <c r="B53" t="s">
        <v>42</v>
      </c>
      <c r="C53">
        <v>23</v>
      </c>
      <c r="D53" t="s">
        <v>16</v>
      </c>
      <c r="E53" t="s">
        <v>400</v>
      </c>
      <c r="F53">
        <v>5</v>
      </c>
      <c r="G53" s="18">
        <v>16</v>
      </c>
      <c r="H53">
        <v>0</v>
      </c>
    </row>
    <row r="54" spans="1:8" x14ac:dyDescent="0.3">
      <c r="A54" t="s">
        <v>390</v>
      </c>
      <c r="B54" t="s">
        <v>104</v>
      </c>
      <c r="C54">
        <v>21</v>
      </c>
      <c r="D54" t="s">
        <v>16</v>
      </c>
      <c r="E54" t="s">
        <v>146</v>
      </c>
      <c r="F54">
        <v>5</v>
      </c>
      <c r="G54" s="18">
        <v>16</v>
      </c>
      <c r="H54">
        <v>0</v>
      </c>
    </row>
    <row r="55" spans="1:8" x14ac:dyDescent="0.3">
      <c r="A55" t="s">
        <v>406</v>
      </c>
      <c r="B55" t="s">
        <v>45</v>
      </c>
      <c r="C55">
        <v>26</v>
      </c>
      <c r="D55" t="s">
        <v>16</v>
      </c>
      <c r="E55" t="s">
        <v>111</v>
      </c>
      <c r="F55">
        <v>5</v>
      </c>
      <c r="G55" s="18">
        <v>16</v>
      </c>
      <c r="H55">
        <v>0</v>
      </c>
    </row>
    <row r="56" spans="1:8" x14ac:dyDescent="0.3">
      <c r="A56" t="s">
        <v>125</v>
      </c>
      <c r="B56" t="s">
        <v>7</v>
      </c>
      <c r="C56">
        <v>26</v>
      </c>
      <c r="D56" t="s">
        <v>16</v>
      </c>
      <c r="E56" t="s">
        <v>60</v>
      </c>
      <c r="F56">
        <v>21</v>
      </c>
      <c r="G56" s="18">
        <v>15</v>
      </c>
      <c r="H56">
        <v>0</v>
      </c>
    </row>
    <row r="57" spans="1:8" x14ac:dyDescent="0.3">
      <c r="A57" t="s">
        <v>190</v>
      </c>
      <c r="B57" t="s">
        <v>11</v>
      </c>
      <c r="C57">
        <v>31</v>
      </c>
      <c r="D57" t="s">
        <v>16</v>
      </c>
      <c r="E57" t="s">
        <v>88</v>
      </c>
      <c r="F57">
        <v>13</v>
      </c>
      <c r="G57" s="18">
        <v>15</v>
      </c>
      <c r="H57">
        <v>0</v>
      </c>
    </row>
    <row r="58" spans="1:8" x14ac:dyDescent="0.3">
      <c r="A58" t="s">
        <v>254</v>
      </c>
      <c r="B58" t="s">
        <v>64</v>
      </c>
      <c r="C58">
        <v>27</v>
      </c>
      <c r="D58" t="s">
        <v>16</v>
      </c>
      <c r="E58" t="s">
        <v>88</v>
      </c>
      <c r="F58">
        <v>9</v>
      </c>
      <c r="G58" s="18">
        <v>15</v>
      </c>
      <c r="H58">
        <v>0</v>
      </c>
    </row>
    <row r="59" spans="1:8" x14ac:dyDescent="0.3">
      <c r="A59" t="s">
        <v>255</v>
      </c>
      <c r="B59" t="s">
        <v>29</v>
      </c>
      <c r="C59">
        <v>28</v>
      </c>
      <c r="D59" t="s">
        <v>16</v>
      </c>
      <c r="E59" t="s">
        <v>88</v>
      </c>
      <c r="F59">
        <v>9</v>
      </c>
      <c r="G59" s="18">
        <v>15</v>
      </c>
      <c r="H59">
        <v>0</v>
      </c>
    </row>
    <row r="60" spans="1:8" x14ac:dyDescent="0.3">
      <c r="A60" t="s">
        <v>361</v>
      </c>
      <c r="B60" t="s">
        <v>94</v>
      </c>
      <c r="C60">
        <v>27</v>
      </c>
      <c r="D60" t="s">
        <v>16</v>
      </c>
      <c r="E60" t="s">
        <v>131</v>
      </c>
      <c r="F60">
        <v>6</v>
      </c>
      <c r="G60" s="18">
        <v>15</v>
      </c>
      <c r="H60">
        <v>0</v>
      </c>
    </row>
    <row r="61" spans="1:8" x14ac:dyDescent="0.3">
      <c r="A61" t="s">
        <v>355</v>
      </c>
      <c r="B61" t="s">
        <v>157</v>
      </c>
      <c r="C61">
        <v>25</v>
      </c>
      <c r="D61" t="s">
        <v>16</v>
      </c>
      <c r="E61" t="s">
        <v>131</v>
      </c>
      <c r="F61">
        <v>6</v>
      </c>
      <c r="G61" s="18">
        <v>15</v>
      </c>
      <c r="H61">
        <v>0</v>
      </c>
    </row>
    <row r="62" spans="1:8" x14ac:dyDescent="0.3">
      <c r="A62" t="s">
        <v>345</v>
      </c>
      <c r="B62" t="s">
        <v>104</v>
      </c>
      <c r="C62">
        <v>29</v>
      </c>
      <c r="D62" t="s">
        <v>16</v>
      </c>
      <c r="E62" t="s">
        <v>111</v>
      </c>
      <c r="F62">
        <v>6</v>
      </c>
      <c r="G62" s="18">
        <v>15</v>
      </c>
      <c r="H62">
        <v>0</v>
      </c>
    </row>
    <row r="63" spans="1:8" x14ac:dyDescent="0.3">
      <c r="A63" t="s">
        <v>203</v>
      </c>
      <c r="B63" t="s">
        <v>14</v>
      </c>
      <c r="C63">
        <v>33</v>
      </c>
      <c r="D63" t="s">
        <v>16</v>
      </c>
      <c r="E63" t="s">
        <v>188</v>
      </c>
      <c r="F63">
        <v>12</v>
      </c>
      <c r="G63" s="18">
        <v>14</v>
      </c>
      <c r="H63">
        <v>0</v>
      </c>
    </row>
    <row r="64" spans="1:8" x14ac:dyDescent="0.3">
      <c r="A64" t="s">
        <v>204</v>
      </c>
      <c r="B64" t="s">
        <v>39</v>
      </c>
      <c r="C64">
        <v>34</v>
      </c>
      <c r="D64" t="s">
        <v>16</v>
      </c>
      <c r="E64" t="s">
        <v>131</v>
      </c>
      <c r="F64">
        <v>12</v>
      </c>
      <c r="G64" s="18">
        <v>14</v>
      </c>
      <c r="H64">
        <v>0</v>
      </c>
    </row>
    <row r="65" spans="1:8" x14ac:dyDescent="0.3">
      <c r="A65" t="s">
        <v>231</v>
      </c>
      <c r="B65" t="s">
        <v>31</v>
      </c>
      <c r="C65">
        <v>21</v>
      </c>
      <c r="D65" t="s">
        <v>16</v>
      </c>
      <c r="E65" t="s">
        <v>146</v>
      </c>
      <c r="F65">
        <v>10</v>
      </c>
      <c r="G65" s="18">
        <v>14</v>
      </c>
      <c r="H65">
        <v>0</v>
      </c>
    </row>
    <row r="66" spans="1:8" x14ac:dyDescent="0.3">
      <c r="A66" t="s">
        <v>348</v>
      </c>
      <c r="B66" t="s">
        <v>33</v>
      </c>
      <c r="C66">
        <v>23</v>
      </c>
      <c r="D66" t="s">
        <v>16</v>
      </c>
      <c r="E66" t="s">
        <v>88</v>
      </c>
      <c r="F66">
        <v>6</v>
      </c>
      <c r="G66" s="18">
        <v>14</v>
      </c>
      <c r="H66">
        <v>0</v>
      </c>
    </row>
    <row r="67" spans="1:8" x14ac:dyDescent="0.3">
      <c r="A67" t="s">
        <v>353</v>
      </c>
      <c r="B67" t="s">
        <v>178</v>
      </c>
      <c r="C67">
        <v>29</v>
      </c>
      <c r="D67" t="s">
        <v>16</v>
      </c>
      <c r="E67" t="s">
        <v>88</v>
      </c>
      <c r="F67">
        <v>6</v>
      </c>
      <c r="G67" s="18">
        <v>13</v>
      </c>
      <c r="H67">
        <v>0</v>
      </c>
    </row>
    <row r="68" spans="1:8" x14ac:dyDescent="0.3">
      <c r="A68" t="s">
        <v>358</v>
      </c>
      <c r="B68" t="s">
        <v>94</v>
      </c>
      <c r="C68">
        <v>33</v>
      </c>
      <c r="D68" t="s">
        <v>16</v>
      </c>
      <c r="E68" t="s">
        <v>188</v>
      </c>
      <c r="F68">
        <v>6</v>
      </c>
      <c r="G68" s="18">
        <v>13</v>
      </c>
      <c r="H68">
        <v>0</v>
      </c>
    </row>
    <row r="69" spans="1:8" x14ac:dyDescent="0.3">
      <c r="A69" t="s">
        <v>351</v>
      </c>
      <c r="B69" t="s">
        <v>94</v>
      </c>
      <c r="C69">
        <v>23</v>
      </c>
      <c r="D69" t="s">
        <v>16</v>
      </c>
      <c r="E69" t="s">
        <v>88</v>
      </c>
      <c r="F69">
        <v>6</v>
      </c>
      <c r="G69" s="18">
        <v>13</v>
      </c>
      <c r="H69">
        <v>0</v>
      </c>
    </row>
    <row r="70" spans="1:8" x14ac:dyDescent="0.3">
      <c r="A70" t="s">
        <v>402</v>
      </c>
      <c r="B70" t="s">
        <v>115</v>
      </c>
      <c r="C70">
        <v>27</v>
      </c>
      <c r="D70" t="s">
        <v>16</v>
      </c>
      <c r="E70" t="s">
        <v>88</v>
      </c>
      <c r="F70">
        <v>5</v>
      </c>
      <c r="G70" s="18">
        <v>13</v>
      </c>
      <c r="H70">
        <v>0</v>
      </c>
    </row>
    <row r="71" spans="1:8" x14ac:dyDescent="0.3">
      <c r="A71" s="19" t="s">
        <v>387</v>
      </c>
      <c r="B71" t="s">
        <v>74</v>
      </c>
      <c r="C71">
        <v>23</v>
      </c>
      <c r="D71" t="s">
        <v>16</v>
      </c>
      <c r="E71" t="s">
        <v>188</v>
      </c>
      <c r="F71">
        <v>5</v>
      </c>
      <c r="G71" s="18">
        <v>12.5</v>
      </c>
      <c r="H71">
        <v>0</v>
      </c>
    </row>
    <row r="72" spans="1:8" x14ac:dyDescent="0.3">
      <c r="A72" t="s">
        <v>138</v>
      </c>
      <c r="B72" t="s">
        <v>7</v>
      </c>
      <c r="C72">
        <v>32</v>
      </c>
      <c r="D72" t="s">
        <v>16</v>
      </c>
      <c r="E72" t="s">
        <v>88</v>
      </c>
      <c r="F72">
        <v>19</v>
      </c>
      <c r="G72" s="18">
        <v>12</v>
      </c>
      <c r="H72">
        <v>0</v>
      </c>
    </row>
    <row r="73" spans="1:8" x14ac:dyDescent="0.3">
      <c r="A73" t="s">
        <v>199</v>
      </c>
      <c r="B73" t="s">
        <v>19</v>
      </c>
      <c r="C73">
        <v>23</v>
      </c>
      <c r="D73" t="s">
        <v>16</v>
      </c>
      <c r="E73" t="s">
        <v>188</v>
      </c>
      <c r="F73">
        <v>12</v>
      </c>
      <c r="G73" s="18">
        <v>12</v>
      </c>
      <c r="H73">
        <v>0</v>
      </c>
    </row>
    <row r="74" spans="1:8" x14ac:dyDescent="0.3">
      <c r="A74" t="s">
        <v>388</v>
      </c>
      <c r="B74" t="s">
        <v>64</v>
      </c>
      <c r="C74">
        <v>28</v>
      </c>
      <c r="D74" t="s">
        <v>16</v>
      </c>
      <c r="E74" t="s">
        <v>88</v>
      </c>
      <c r="F74">
        <v>5</v>
      </c>
      <c r="G74" s="18">
        <v>12</v>
      </c>
      <c r="H74">
        <v>0</v>
      </c>
    </row>
    <row r="75" spans="1:8" x14ac:dyDescent="0.3">
      <c r="A75" t="s">
        <v>250</v>
      </c>
      <c r="B75" t="s">
        <v>39</v>
      </c>
      <c r="C75">
        <v>23</v>
      </c>
      <c r="D75" t="s">
        <v>16</v>
      </c>
      <c r="E75" t="s">
        <v>188</v>
      </c>
      <c r="F75">
        <v>9</v>
      </c>
      <c r="G75" s="18">
        <v>11</v>
      </c>
      <c r="H75">
        <v>0</v>
      </c>
    </row>
    <row r="76" spans="1:8" x14ac:dyDescent="0.3">
      <c r="A76" t="s">
        <v>257</v>
      </c>
      <c r="B76" t="s">
        <v>64</v>
      </c>
      <c r="C76">
        <v>30</v>
      </c>
      <c r="D76" t="s">
        <v>16</v>
      </c>
      <c r="E76" t="s">
        <v>88</v>
      </c>
      <c r="F76">
        <v>9</v>
      </c>
      <c r="G76" s="18">
        <v>11</v>
      </c>
      <c r="H76">
        <v>0</v>
      </c>
    </row>
    <row r="77" spans="1:8" x14ac:dyDescent="0.3">
      <c r="A77" t="s">
        <v>274</v>
      </c>
      <c r="B77" t="s">
        <v>45</v>
      </c>
      <c r="C77">
        <v>22</v>
      </c>
      <c r="D77" t="s">
        <v>16</v>
      </c>
      <c r="E77" t="s">
        <v>188</v>
      </c>
      <c r="F77">
        <v>8</v>
      </c>
      <c r="G77" s="18">
        <v>11</v>
      </c>
      <c r="H77">
        <v>0</v>
      </c>
    </row>
    <row r="78" spans="1:8" x14ac:dyDescent="0.3">
      <c r="A78" t="s">
        <v>280</v>
      </c>
      <c r="B78" t="s">
        <v>55</v>
      </c>
      <c r="C78">
        <v>30</v>
      </c>
      <c r="D78" t="s">
        <v>16</v>
      </c>
      <c r="E78" t="s">
        <v>188</v>
      </c>
      <c r="F78">
        <v>8</v>
      </c>
      <c r="G78" s="18">
        <v>11</v>
      </c>
      <c r="H78">
        <v>0</v>
      </c>
    </row>
    <row r="79" spans="1:8" x14ac:dyDescent="0.3">
      <c r="A79" t="s">
        <v>365</v>
      </c>
      <c r="B79" t="s">
        <v>142</v>
      </c>
      <c r="C79">
        <v>27</v>
      </c>
      <c r="D79" t="s">
        <v>16</v>
      </c>
      <c r="E79" t="s">
        <v>88</v>
      </c>
      <c r="F79">
        <v>6</v>
      </c>
      <c r="G79" s="18">
        <v>11</v>
      </c>
      <c r="H79">
        <v>0</v>
      </c>
    </row>
    <row r="80" spans="1:8" x14ac:dyDescent="0.3">
      <c r="A80" t="s">
        <v>392</v>
      </c>
      <c r="B80" t="s">
        <v>142</v>
      </c>
      <c r="C80">
        <v>20</v>
      </c>
      <c r="D80" t="s">
        <v>16</v>
      </c>
      <c r="E80" t="s">
        <v>111</v>
      </c>
      <c r="F80">
        <v>5</v>
      </c>
      <c r="G80" s="18">
        <v>11</v>
      </c>
      <c r="H8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7745-A51D-4881-82EB-0FE30776D502}">
  <dimension ref="A1:G80"/>
  <sheetViews>
    <sheetView topLeftCell="A23" workbookViewId="0">
      <selection activeCell="J48" sqref="J1:J48"/>
    </sheetView>
  </sheetViews>
  <sheetFormatPr defaultRowHeight="14.4" x14ac:dyDescent="0.3"/>
  <cols>
    <col min="1" max="1" width="24.6640625" customWidth="1"/>
  </cols>
  <sheetData>
    <row r="1" spans="1:7" x14ac:dyDescent="0.3">
      <c r="A1" t="s">
        <v>18</v>
      </c>
      <c r="B1" t="s">
        <v>19</v>
      </c>
      <c r="C1">
        <v>22</v>
      </c>
      <c r="D1" t="s">
        <v>20</v>
      </c>
      <c r="E1" t="s">
        <v>21</v>
      </c>
      <c r="F1">
        <v>125</v>
      </c>
      <c r="G1">
        <v>19</v>
      </c>
    </row>
    <row r="2" spans="1:7" x14ac:dyDescent="0.3">
      <c r="A2" t="s">
        <v>22</v>
      </c>
      <c r="B2" t="s">
        <v>14</v>
      </c>
      <c r="C2">
        <v>30</v>
      </c>
      <c r="D2" t="s">
        <v>20</v>
      </c>
      <c r="E2" t="s">
        <v>23</v>
      </c>
      <c r="F2">
        <v>120</v>
      </c>
      <c r="G2">
        <v>19</v>
      </c>
    </row>
    <row r="3" spans="1:7" x14ac:dyDescent="0.3">
      <c r="A3" t="s">
        <v>26</v>
      </c>
      <c r="B3" t="s">
        <v>7</v>
      </c>
      <c r="C3">
        <v>32</v>
      </c>
      <c r="D3" t="s">
        <v>20</v>
      </c>
      <c r="E3" t="s">
        <v>27</v>
      </c>
      <c r="F3">
        <v>115</v>
      </c>
      <c r="G3">
        <v>19</v>
      </c>
    </row>
    <row r="4" spans="1:7" x14ac:dyDescent="0.3">
      <c r="A4" t="s">
        <v>32</v>
      </c>
      <c r="B4" t="s">
        <v>33</v>
      </c>
      <c r="C4">
        <v>29</v>
      </c>
      <c r="D4" t="s">
        <v>20</v>
      </c>
      <c r="E4" t="s">
        <v>34</v>
      </c>
      <c r="F4">
        <v>100</v>
      </c>
      <c r="G4">
        <v>19</v>
      </c>
    </row>
    <row r="5" spans="1:7" x14ac:dyDescent="0.3">
      <c r="A5" t="s">
        <v>40</v>
      </c>
      <c r="B5" t="s">
        <v>25</v>
      </c>
      <c r="C5">
        <v>31</v>
      </c>
      <c r="D5" t="s">
        <v>20</v>
      </c>
      <c r="E5" t="s">
        <v>23</v>
      </c>
      <c r="F5">
        <v>64</v>
      </c>
      <c r="G5">
        <v>19</v>
      </c>
    </row>
    <row r="6" spans="1:7" x14ac:dyDescent="0.3">
      <c r="A6" t="s">
        <v>50</v>
      </c>
      <c r="B6" t="s">
        <v>42</v>
      </c>
      <c r="C6">
        <v>27</v>
      </c>
      <c r="D6" t="s">
        <v>20</v>
      </c>
      <c r="E6" t="s">
        <v>21</v>
      </c>
      <c r="F6">
        <v>50</v>
      </c>
      <c r="G6">
        <v>19</v>
      </c>
    </row>
    <row r="7" spans="1:7" x14ac:dyDescent="0.3">
      <c r="A7" t="s">
        <v>66</v>
      </c>
      <c r="B7" t="s">
        <v>7</v>
      </c>
      <c r="C7">
        <v>29</v>
      </c>
      <c r="D7" t="s">
        <v>20</v>
      </c>
      <c r="E7" t="s">
        <v>20</v>
      </c>
      <c r="F7">
        <v>40</v>
      </c>
      <c r="G7">
        <v>19</v>
      </c>
    </row>
    <row r="8" spans="1:7" x14ac:dyDescent="0.3">
      <c r="A8" t="s">
        <v>99</v>
      </c>
      <c r="B8" t="s">
        <v>25</v>
      </c>
      <c r="C8">
        <v>41</v>
      </c>
      <c r="D8" t="s">
        <v>20</v>
      </c>
      <c r="E8" t="s">
        <v>27</v>
      </c>
      <c r="F8">
        <v>25</v>
      </c>
      <c r="G8">
        <v>19</v>
      </c>
    </row>
    <row r="9" spans="1:7" x14ac:dyDescent="0.3">
      <c r="A9" t="s">
        <v>119</v>
      </c>
      <c r="B9" t="s">
        <v>42</v>
      </c>
      <c r="C9">
        <v>26</v>
      </c>
      <c r="D9" t="s">
        <v>20</v>
      </c>
      <c r="E9" t="s">
        <v>23</v>
      </c>
      <c r="F9">
        <v>21</v>
      </c>
      <c r="G9">
        <v>19</v>
      </c>
    </row>
    <row r="10" spans="1:7" x14ac:dyDescent="0.3">
      <c r="A10" s="19" t="s">
        <v>226</v>
      </c>
      <c r="B10" t="s">
        <v>94</v>
      </c>
      <c r="C10">
        <v>30</v>
      </c>
      <c r="D10" t="s">
        <v>20</v>
      </c>
      <c r="E10" t="s">
        <v>27</v>
      </c>
      <c r="F10">
        <v>10</v>
      </c>
      <c r="G10">
        <v>19</v>
      </c>
    </row>
    <row r="11" spans="1:7" x14ac:dyDescent="0.3">
      <c r="A11" t="s">
        <v>228</v>
      </c>
      <c r="B11" t="s">
        <v>14</v>
      </c>
      <c r="C11">
        <v>32</v>
      </c>
      <c r="D11" t="s">
        <v>20</v>
      </c>
      <c r="E11" t="s">
        <v>27</v>
      </c>
      <c r="F11">
        <v>10</v>
      </c>
      <c r="G11">
        <v>19</v>
      </c>
    </row>
    <row r="12" spans="1:7" x14ac:dyDescent="0.3">
      <c r="A12" s="19" t="s">
        <v>301</v>
      </c>
      <c r="B12" t="s">
        <v>94</v>
      </c>
      <c r="C12">
        <v>24</v>
      </c>
      <c r="D12" t="s">
        <v>20</v>
      </c>
      <c r="E12" t="s">
        <v>27</v>
      </c>
      <c r="F12">
        <v>7</v>
      </c>
      <c r="G12">
        <v>19</v>
      </c>
    </row>
    <row r="13" spans="1:7" x14ac:dyDescent="0.3">
      <c r="A13" t="s">
        <v>36</v>
      </c>
      <c r="B13" t="s">
        <v>25</v>
      </c>
      <c r="C13">
        <v>28</v>
      </c>
      <c r="D13" t="s">
        <v>20</v>
      </c>
      <c r="E13" t="s">
        <v>21</v>
      </c>
      <c r="F13">
        <v>90</v>
      </c>
      <c r="G13">
        <v>18</v>
      </c>
    </row>
    <row r="14" spans="1:7" x14ac:dyDescent="0.3">
      <c r="A14" t="s">
        <v>54</v>
      </c>
      <c r="B14" t="s">
        <v>55</v>
      </c>
      <c r="C14">
        <v>31</v>
      </c>
      <c r="D14" t="s">
        <v>20</v>
      </c>
      <c r="E14" t="s">
        <v>34</v>
      </c>
      <c r="F14">
        <v>46</v>
      </c>
      <c r="G14">
        <v>18</v>
      </c>
    </row>
    <row r="15" spans="1:7" x14ac:dyDescent="0.3">
      <c r="A15" t="s">
        <v>58</v>
      </c>
      <c r="B15" t="s">
        <v>31</v>
      </c>
      <c r="C15">
        <v>23</v>
      </c>
      <c r="D15" t="s">
        <v>20</v>
      </c>
      <c r="E15" t="s">
        <v>23</v>
      </c>
      <c r="F15">
        <v>44</v>
      </c>
      <c r="G15">
        <v>18</v>
      </c>
    </row>
    <row r="16" spans="1:7" x14ac:dyDescent="0.3">
      <c r="A16" t="s">
        <v>65</v>
      </c>
      <c r="B16" t="s">
        <v>64</v>
      </c>
      <c r="C16">
        <v>29</v>
      </c>
      <c r="D16" t="s">
        <v>20</v>
      </c>
      <c r="E16" t="s">
        <v>48</v>
      </c>
      <c r="F16">
        <v>40</v>
      </c>
      <c r="G16">
        <v>18</v>
      </c>
    </row>
    <row r="17" spans="1:7" x14ac:dyDescent="0.3">
      <c r="A17" t="s">
        <v>75</v>
      </c>
      <c r="B17" t="s">
        <v>55</v>
      </c>
      <c r="C17">
        <v>24</v>
      </c>
      <c r="D17" t="s">
        <v>20</v>
      </c>
      <c r="E17" t="s">
        <v>23</v>
      </c>
      <c r="F17">
        <v>32</v>
      </c>
      <c r="G17">
        <v>18</v>
      </c>
    </row>
    <row r="18" spans="1:7" x14ac:dyDescent="0.3">
      <c r="A18" t="s">
        <v>108</v>
      </c>
      <c r="B18" t="s">
        <v>39</v>
      </c>
      <c r="C18">
        <v>27</v>
      </c>
      <c r="D18" t="s">
        <v>20</v>
      </c>
      <c r="E18" t="s">
        <v>27</v>
      </c>
      <c r="F18">
        <v>23</v>
      </c>
      <c r="G18">
        <v>18</v>
      </c>
    </row>
    <row r="19" spans="1:7" x14ac:dyDescent="0.3">
      <c r="A19" t="s">
        <v>121</v>
      </c>
      <c r="B19" t="s">
        <v>11</v>
      </c>
      <c r="C19">
        <v>25</v>
      </c>
      <c r="D19" t="s">
        <v>20</v>
      </c>
      <c r="E19" t="s">
        <v>27</v>
      </c>
      <c r="F19">
        <v>21</v>
      </c>
      <c r="G19">
        <v>18</v>
      </c>
    </row>
    <row r="20" spans="1:7" x14ac:dyDescent="0.3">
      <c r="A20" s="19" t="s">
        <v>140</v>
      </c>
      <c r="B20" t="s">
        <v>115</v>
      </c>
      <c r="C20">
        <v>25</v>
      </c>
      <c r="D20" t="s">
        <v>20</v>
      </c>
      <c r="E20" t="s">
        <v>20</v>
      </c>
      <c r="F20">
        <v>18</v>
      </c>
      <c r="G20">
        <v>18</v>
      </c>
    </row>
    <row r="21" spans="1:7" x14ac:dyDescent="0.3">
      <c r="A21" t="s">
        <v>153</v>
      </c>
      <c r="B21" t="s">
        <v>29</v>
      </c>
      <c r="C21">
        <v>28</v>
      </c>
      <c r="D21" t="s">
        <v>20</v>
      </c>
      <c r="E21" t="s">
        <v>27</v>
      </c>
      <c r="F21">
        <v>16</v>
      </c>
      <c r="G21">
        <v>18</v>
      </c>
    </row>
    <row r="22" spans="1:7" x14ac:dyDescent="0.3">
      <c r="A22" t="s">
        <v>160</v>
      </c>
      <c r="B22" t="s">
        <v>11</v>
      </c>
      <c r="C22">
        <v>31</v>
      </c>
      <c r="D22" t="s">
        <v>20</v>
      </c>
      <c r="E22" t="s">
        <v>27</v>
      </c>
      <c r="F22">
        <v>15</v>
      </c>
      <c r="G22">
        <v>18</v>
      </c>
    </row>
    <row r="23" spans="1:7" x14ac:dyDescent="0.3">
      <c r="A23" t="s">
        <v>225</v>
      </c>
      <c r="B23" t="s">
        <v>74</v>
      </c>
      <c r="C23">
        <v>25</v>
      </c>
      <c r="D23" t="s">
        <v>20</v>
      </c>
      <c r="E23" t="s">
        <v>27</v>
      </c>
      <c r="F23">
        <v>10</v>
      </c>
      <c r="G23">
        <v>18</v>
      </c>
    </row>
    <row r="24" spans="1:7" x14ac:dyDescent="0.3">
      <c r="A24" s="19" t="s">
        <v>222</v>
      </c>
      <c r="B24" t="s">
        <v>42</v>
      </c>
      <c r="C24">
        <v>31</v>
      </c>
      <c r="D24" t="s">
        <v>20</v>
      </c>
      <c r="E24" t="s">
        <v>27</v>
      </c>
      <c r="F24">
        <v>10</v>
      </c>
      <c r="G24">
        <v>18</v>
      </c>
    </row>
    <row r="25" spans="1:7" x14ac:dyDescent="0.3">
      <c r="A25" s="19" t="s">
        <v>223</v>
      </c>
      <c r="B25" t="s">
        <v>178</v>
      </c>
      <c r="C25">
        <v>25</v>
      </c>
      <c r="D25" t="s">
        <v>20</v>
      </c>
      <c r="E25" t="s">
        <v>96</v>
      </c>
      <c r="F25">
        <v>10</v>
      </c>
      <c r="G25">
        <v>18</v>
      </c>
    </row>
    <row r="26" spans="1:7" x14ac:dyDescent="0.3">
      <c r="A26" s="19" t="s">
        <v>242</v>
      </c>
      <c r="B26" t="s">
        <v>64</v>
      </c>
      <c r="C26">
        <v>19</v>
      </c>
      <c r="D26" t="s">
        <v>20</v>
      </c>
      <c r="E26" t="s">
        <v>17</v>
      </c>
      <c r="F26">
        <v>9</v>
      </c>
      <c r="G26">
        <v>18</v>
      </c>
    </row>
    <row r="27" spans="1:7" x14ac:dyDescent="0.3">
      <c r="A27" s="19" t="s">
        <v>266</v>
      </c>
      <c r="B27" t="s">
        <v>115</v>
      </c>
      <c r="C27">
        <v>24</v>
      </c>
      <c r="D27" t="s">
        <v>20</v>
      </c>
      <c r="E27" t="s">
        <v>27</v>
      </c>
      <c r="F27">
        <v>8</v>
      </c>
      <c r="G27">
        <v>18</v>
      </c>
    </row>
    <row r="28" spans="1:7" x14ac:dyDescent="0.3">
      <c r="A28" s="19" t="s">
        <v>272</v>
      </c>
      <c r="B28" t="s">
        <v>45</v>
      </c>
      <c r="C28">
        <v>38</v>
      </c>
      <c r="D28" t="s">
        <v>20</v>
      </c>
      <c r="E28" t="s">
        <v>27</v>
      </c>
      <c r="F28">
        <v>8</v>
      </c>
      <c r="G28">
        <v>18</v>
      </c>
    </row>
    <row r="29" spans="1:7" x14ac:dyDescent="0.3">
      <c r="A29" t="s">
        <v>56</v>
      </c>
      <c r="B29" t="s">
        <v>19</v>
      </c>
      <c r="C29">
        <v>25</v>
      </c>
      <c r="D29" t="s">
        <v>20</v>
      </c>
      <c r="E29" t="s">
        <v>23</v>
      </c>
      <c r="F29">
        <v>45</v>
      </c>
      <c r="G29">
        <v>17</v>
      </c>
    </row>
    <row r="30" spans="1:7" x14ac:dyDescent="0.3">
      <c r="A30" t="s">
        <v>69</v>
      </c>
      <c r="B30" t="s">
        <v>29</v>
      </c>
      <c r="C30">
        <v>28</v>
      </c>
      <c r="D30" t="s">
        <v>20</v>
      </c>
      <c r="E30" t="s">
        <v>20</v>
      </c>
      <c r="F30">
        <v>34</v>
      </c>
      <c r="G30">
        <v>17</v>
      </c>
    </row>
    <row r="31" spans="1:7" x14ac:dyDescent="0.3">
      <c r="A31" t="s">
        <v>82</v>
      </c>
      <c r="B31" t="s">
        <v>31</v>
      </c>
      <c r="C31">
        <v>19</v>
      </c>
      <c r="D31" t="s">
        <v>20</v>
      </c>
      <c r="E31" t="s">
        <v>83</v>
      </c>
      <c r="F31">
        <v>29</v>
      </c>
      <c r="G31">
        <v>17</v>
      </c>
    </row>
    <row r="32" spans="1:7" x14ac:dyDescent="0.3">
      <c r="A32" t="s">
        <v>136</v>
      </c>
      <c r="B32" t="s">
        <v>19</v>
      </c>
      <c r="C32">
        <v>23</v>
      </c>
      <c r="D32" t="s">
        <v>20</v>
      </c>
      <c r="E32" t="s">
        <v>27</v>
      </c>
      <c r="F32">
        <v>19</v>
      </c>
      <c r="G32">
        <v>17</v>
      </c>
    </row>
    <row r="33" spans="1:7" x14ac:dyDescent="0.3">
      <c r="A33" t="s">
        <v>185</v>
      </c>
      <c r="B33" t="s">
        <v>142</v>
      </c>
      <c r="C33">
        <v>27</v>
      </c>
      <c r="D33" t="s">
        <v>20</v>
      </c>
      <c r="E33" t="s">
        <v>48</v>
      </c>
      <c r="F33">
        <v>13</v>
      </c>
      <c r="G33">
        <v>17</v>
      </c>
    </row>
    <row r="34" spans="1:7" x14ac:dyDescent="0.3">
      <c r="A34" t="s">
        <v>224</v>
      </c>
      <c r="B34" t="s">
        <v>104</v>
      </c>
      <c r="C34">
        <v>23</v>
      </c>
      <c r="D34" t="s">
        <v>20</v>
      </c>
      <c r="E34" t="s">
        <v>23</v>
      </c>
      <c r="F34">
        <v>10</v>
      </c>
      <c r="G34">
        <v>17</v>
      </c>
    </row>
    <row r="35" spans="1:7" x14ac:dyDescent="0.3">
      <c r="A35" s="19" t="s">
        <v>268</v>
      </c>
      <c r="B35" t="s">
        <v>142</v>
      </c>
      <c r="C35">
        <v>22</v>
      </c>
      <c r="D35" t="s">
        <v>20</v>
      </c>
      <c r="E35" t="s">
        <v>20</v>
      </c>
      <c r="F35">
        <v>8</v>
      </c>
      <c r="G35">
        <v>17</v>
      </c>
    </row>
    <row r="36" spans="1:7" x14ac:dyDescent="0.3">
      <c r="A36" t="s">
        <v>270</v>
      </c>
      <c r="B36" t="s">
        <v>55</v>
      </c>
      <c r="C36">
        <v>25</v>
      </c>
      <c r="D36" t="s">
        <v>20</v>
      </c>
      <c r="E36" t="s">
        <v>27</v>
      </c>
      <c r="F36">
        <v>8</v>
      </c>
      <c r="G36">
        <v>17</v>
      </c>
    </row>
    <row r="37" spans="1:7" x14ac:dyDescent="0.3">
      <c r="A37" s="19" t="s">
        <v>306</v>
      </c>
      <c r="B37" t="s">
        <v>104</v>
      </c>
      <c r="C37">
        <v>26</v>
      </c>
      <c r="D37" t="s">
        <v>20</v>
      </c>
      <c r="E37" t="s">
        <v>27</v>
      </c>
      <c r="F37">
        <v>7</v>
      </c>
      <c r="G37">
        <v>17</v>
      </c>
    </row>
    <row r="38" spans="1:7" x14ac:dyDescent="0.3">
      <c r="A38" t="s">
        <v>307</v>
      </c>
      <c r="B38" t="s">
        <v>104</v>
      </c>
      <c r="C38">
        <v>30</v>
      </c>
      <c r="D38" t="s">
        <v>20</v>
      </c>
      <c r="E38" t="s">
        <v>27</v>
      </c>
      <c r="F38">
        <v>7</v>
      </c>
      <c r="G38">
        <v>17</v>
      </c>
    </row>
    <row r="39" spans="1:7" x14ac:dyDescent="0.3">
      <c r="A39" t="s">
        <v>49</v>
      </c>
      <c r="B39" t="s">
        <v>19</v>
      </c>
      <c r="C39">
        <v>23</v>
      </c>
      <c r="D39" t="s">
        <v>20</v>
      </c>
      <c r="E39" t="s">
        <v>48</v>
      </c>
      <c r="F39">
        <v>51</v>
      </c>
      <c r="G39">
        <v>16</v>
      </c>
    </row>
    <row r="40" spans="1:7" x14ac:dyDescent="0.3">
      <c r="A40" s="19" t="s">
        <v>86</v>
      </c>
      <c r="B40" t="s">
        <v>55</v>
      </c>
      <c r="C40">
        <v>27</v>
      </c>
      <c r="D40" t="s">
        <v>20</v>
      </c>
      <c r="E40" t="s">
        <v>23</v>
      </c>
      <c r="F40">
        <v>28</v>
      </c>
      <c r="G40">
        <v>16</v>
      </c>
    </row>
    <row r="41" spans="1:7" x14ac:dyDescent="0.3">
      <c r="A41" s="19" t="s">
        <v>116</v>
      </c>
      <c r="B41" t="s">
        <v>25</v>
      </c>
      <c r="C41">
        <v>27</v>
      </c>
      <c r="D41" t="s">
        <v>20</v>
      </c>
      <c r="E41" t="s">
        <v>17</v>
      </c>
      <c r="F41">
        <v>22</v>
      </c>
      <c r="G41">
        <v>16</v>
      </c>
    </row>
    <row r="42" spans="1:7" x14ac:dyDescent="0.3">
      <c r="A42" t="s">
        <v>137</v>
      </c>
      <c r="B42" t="s">
        <v>64</v>
      </c>
      <c r="C42">
        <v>23</v>
      </c>
      <c r="D42" t="s">
        <v>20</v>
      </c>
      <c r="E42" t="s">
        <v>23</v>
      </c>
      <c r="F42">
        <v>19</v>
      </c>
      <c r="G42">
        <v>16</v>
      </c>
    </row>
    <row r="43" spans="1:7" x14ac:dyDescent="0.3">
      <c r="A43" s="19" t="s">
        <v>158</v>
      </c>
      <c r="B43" t="s">
        <v>157</v>
      </c>
      <c r="C43">
        <v>26</v>
      </c>
      <c r="D43" t="s">
        <v>20</v>
      </c>
      <c r="E43" t="s">
        <v>83</v>
      </c>
      <c r="F43">
        <v>15</v>
      </c>
      <c r="G43">
        <v>16</v>
      </c>
    </row>
    <row r="44" spans="1:7" x14ac:dyDescent="0.3">
      <c r="A44" t="s">
        <v>184</v>
      </c>
      <c r="B44" t="s">
        <v>31</v>
      </c>
      <c r="C44">
        <v>22</v>
      </c>
      <c r="D44" t="s">
        <v>20</v>
      </c>
      <c r="E44" t="s">
        <v>20</v>
      </c>
      <c r="F44">
        <v>13</v>
      </c>
      <c r="G44">
        <v>16</v>
      </c>
    </row>
    <row r="45" spans="1:7" x14ac:dyDescent="0.3">
      <c r="A45" t="s">
        <v>212</v>
      </c>
      <c r="B45" t="s">
        <v>33</v>
      </c>
      <c r="C45">
        <v>32</v>
      </c>
      <c r="D45" t="s">
        <v>20</v>
      </c>
      <c r="E45" t="s">
        <v>83</v>
      </c>
      <c r="F45">
        <v>11</v>
      </c>
      <c r="G45">
        <v>16</v>
      </c>
    </row>
    <row r="46" spans="1:7" x14ac:dyDescent="0.3">
      <c r="A46" t="s">
        <v>246</v>
      </c>
      <c r="B46" t="s">
        <v>33</v>
      </c>
      <c r="C46">
        <v>27</v>
      </c>
      <c r="D46" t="s">
        <v>20</v>
      </c>
      <c r="E46" t="s">
        <v>27</v>
      </c>
      <c r="F46">
        <v>9</v>
      </c>
      <c r="G46">
        <v>16</v>
      </c>
    </row>
    <row r="47" spans="1:7" x14ac:dyDescent="0.3">
      <c r="A47" t="s">
        <v>327</v>
      </c>
      <c r="B47" t="s">
        <v>178</v>
      </c>
      <c r="C47">
        <v>22</v>
      </c>
      <c r="D47" t="s">
        <v>20</v>
      </c>
      <c r="E47" t="s">
        <v>27</v>
      </c>
      <c r="F47">
        <v>6</v>
      </c>
      <c r="G47">
        <v>16</v>
      </c>
    </row>
    <row r="48" spans="1:7" x14ac:dyDescent="0.3">
      <c r="A48" t="s">
        <v>328</v>
      </c>
      <c r="B48" t="s">
        <v>104</v>
      </c>
      <c r="C48">
        <v>20</v>
      </c>
      <c r="D48" t="s">
        <v>20</v>
      </c>
      <c r="E48" t="s">
        <v>27</v>
      </c>
      <c r="F48">
        <v>6</v>
      </c>
      <c r="G48">
        <v>16</v>
      </c>
    </row>
    <row r="49" spans="1:7" x14ac:dyDescent="0.3">
      <c r="A49" t="s">
        <v>133</v>
      </c>
      <c r="B49" t="s">
        <v>33</v>
      </c>
      <c r="C49">
        <v>23</v>
      </c>
      <c r="D49" t="s">
        <v>20</v>
      </c>
      <c r="E49" t="s">
        <v>83</v>
      </c>
      <c r="F49">
        <v>19</v>
      </c>
      <c r="G49">
        <v>15</v>
      </c>
    </row>
    <row r="50" spans="1:7" x14ac:dyDescent="0.3">
      <c r="A50" t="s">
        <v>198</v>
      </c>
      <c r="B50" t="s">
        <v>39</v>
      </c>
      <c r="C50">
        <v>26</v>
      </c>
      <c r="D50" t="s">
        <v>20</v>
      </c>
      <c r="E50" t="s">
        <v>27</v>
      </c>
      <c r="F50">
        <v>12</v>
      </c>
      <c r="G50">
        <v>14.5</v>
      </c>
    </row>
    <row r="51" spans="1:7" x14ac:dyDescent="0.3">
      <c r="A51" t="s">
        <v>51</v>
      </c>
      <c r="B51" t="s">
        <v>14</v>
      </c>
      <c r="C51">
        <v>35</v>
      </c>
      <c r="D51" t="s">
        <v>20</v>
      </c>
      <c r="E51" t="s">
        <v>48</v>
      </c>
      <c r="F51">
        <v>49</v>
      </c>
      <c r="G51">
        <v>14</v>
      </c>
    </row>
    <row r="52" spans="1:7" x14ac:dyDescent="0.3">
      <c r="A52" t="s">
        <v>120</v>
      </c>
      <c r="B52" t="s">
        <v>45</v>
      </c>
      <c r="C52">
        <v>27</v>
      </c>
      <c r="D52" t="s">
        <v>20</v>
      </c>
      <c r="E52" t="s">
        <v>23</v>
      </c>
      <c r="F52">
        <v>21</v>
      </c>
      <c r="G52">
        <v>14</v>
      </c>
    </row>
    <row r="53" spans="1:7" x14ac:dyDescent="0.3">
      <c r="A53" t="s">
        <v>183</v>
      </c>
      <c r="B53" t="s">
        <v>55</v>
      </c>
      <c r="C53">
        <v>25</v>
      </c>
      <c r="D53" t="s">
        <v>20</v>
      </c>
      <c r="E53" t="s">
        <v>34</v>
      </c>
      <c r="F53">
        <v>13</v>
      </c>
      <c r="G53">
        <v>14</v>
      </c>
    </row>
    <row r="54" spans="1:7" x14ac:dyDescent="0.3">
      <c r="A54" s="19" t="s">
        <v>220</v>
      </c>
      <c r="B54" t="s">
        <v>31</v>
      </c>
      <c r="C54">
        <v>20</v>
      </c>
      <c r="D54" t="s">
        <v>20</v>
      </c>
      <c r="E54" t="s">
        <v>27</v>
      </c>
      <c r="F54">
        <v>10</v>
      </c>
      <c r="G54">
        <v>14</v>
      </c>
    </row>
    <row r="55" spans="1:7" x14ac:dyDescent="0.3">
      <c r="A55" s="19" t="s">
        <v>248</v>
      </c>
      <c r="B55" t="s">
        <v>115</v>
      </c>
      <c r="C55">
        <v>26</v>
      </c>
      <c r="D55" t="s">
        <v>20</v>
      </c>
      <c r="E55" t="s">
        <v>27</v>
      </c>
      <c r="F55">
        <v>9</v>
      </c>
      <c r="G55">
        <v>14</v>
      </c>
    </row>
    <row r="56" spans="1:7" x14ac:dyDescent="0.3">
      <c r="A56" s="19" t="s">
        <v>299</v>
      </c>
      <c r="B56" t="s">
        <v>74</v>
      </c>
      <c r="C56">
        <v>29</v>
      </c>
      <c r="D56" t="s">
        <v>20</v>
      </c>
      <c r="E56" t="s">
        <v>27</v>
      </c>
      <c r="F56">
        <v>7</v>
      </c>
      <c r="G56">
        <v>13.5</v>
      </c>
    </row>
    <row r="57" spans="1:7" x14ac:dyDescent="0.3">
      <c r="A57" t="s">
        <v>47</v>
      </c>
      <c r="B57" t="s">
        <v>11</v>
      </c>
      <c r="C57">
        <v>19</v>
      </c>
      <c r="D57" t="s">
        <v>20</v>
      </c>
      <c r="E57" t="s">
        <v>48</v>
      </c>
      <c r="F57">
        <v>51</v>
      </c>
      <c r="G57">
        <v>13</v>
      </c>
    </row>
    <row r="58" spans="1:7" x14ac:dyDescent="0.3">
      <c r="A58" t="s">
        <v>80</v>
      </c>
      <c r="B58" t="s">
        <v>29</v>
      </c>
      <c r="C58">
        <v>24</v>
      </c>
      <c r="D58" t="s">
        <v>20</v>
      </c>
      <c r="E58" t="s">
        <v>34</v>
      </c>
      <c r="F58">
        <v>30</v>
      </c>
      <c r="G58">
        <v>13</v>
      </c>
    </row>
    <row r="59" spans="1:7" x14ac:dyDescent="0.3">
      <c r="A59" t="s">
        <v>123</v>
      </c>
      <c r="B59" t="s">
        <v>39</v>
      </c>
      <c r="C59">
        <v>24</v>
      </c>
      <c r="D59" t="s">
        <v>20</v>
      </c>
      <c r="E59" t="s">
        <v>23</v>
      </c>
      <c r="F59">
        <v>21</v>
      </c>
      <c r="G59">
        <v>13</v>
      </c>
    </row>
    <row r="60" spans="1:7" x14ac:dyDescent="0.3">
      <c r="A60" t="s">
        <v>159</v>
      </c>
      <c r="B60" t="s">
        <v>74</v>
      </c>
      <c r="C60">
        <v>23</v>
      </c>
      <c r="D60" t="s">
        <v>20</v>
      </c>
      <c r="E60" t="s">
        <v>48</v>
      </c>
      <c r="F60">
        <v>15</v>
      </c>
      <c r="G60">
        <v>13</v>
      </c>
    </row>
    <row r="61" spans="1:7" x14ac:dyDescent="0.3">
      <c r="A61" t="s">
        <v>197</v>
      </c>
      <c r="B61" t="s">
        <v>31</v>
      </c>
      <c r="C61">
        <v>25</v>
      </c>
      <c r="D61" t="s">
        <v>20</v>
      </c>
      <c r="E61" t="s">
        <v>27</v>
      </c>
      <c r="F61">
        <v>12</v>
      </c>
      <c r="G61">
        <v>13</v>
      </c>
    </row>
    <row r="62" spans="1:7" x14ac:dyDescent="0.3">
      <c r="A62" s="19" t="s">
        <v>302</v>
      </c>
      <c r="B62" t="s">
        <v>178</v>
      </c>
      <c r="C62">
        <v>30</v>
      </c>
      <c r="D62" t="s">
        <v>20</v>
      </c>
      <c r="E62" t="s">
        <v>27</v>
      </c>
      <c r="F62">
        <v>7</v>
      </c>
      <c r="G62">
        <v>13</v>
      </c>
    </row>
    <row r="63" spans="1:7" x14ac:dyDescent="0.3">
      <c r="A63" s="19" t="s">
        <v>289</v>
      </c>
      <c r="B63" t="s">
        <v>64</v>
      </c>
      <c r="C63">
        <v>23</v>
      </c>
      <c r="D63" t="s">
        <v>20</v>
      </c>
      <c r="E63" t="s">
        <v>27</v>
      </c>
      <c r="F63">
        <v>7</v>
      </c>
      <c r="G63">
        <v>13</v>
      </c>
    </row>
    <row r="64" spans="1:7" x14ac:dyDescent="0.3">
      <c r="A64" s="19" t="s">
        <v>288</v>
      </c>
      <c r="B64" t="s">
        <v>157</v>
      </c>
      <c r="C64">
        <v>31</v>
      </c>
      <c r="D64" t="s">
        <v>20</v>
      </c>
      <c r="E64" t="s">
        <v>27</v>
      </c>
      <c r="F64">
        <v>7</v>
      </c>
      <c r="G64">
        <v>12.5</v>
      </c>
    </row>
    <row r="65" spans="1:7" x14ac:dyDescent="0.3">
      <c r="A65" t="s">
        <v>85</v>
      </c>
      <c r="B65" t="s">
        <v>29</v>
      </c>
      <c r="C65">
        <v>19</v>
      </c>
      <c r="D65" t="s">
        <v>20</v>
      </c>
      <c r="E65" t="s">
        <v>83</v>
      </c>
      <c r="F65">
        <v>28</v>
      </c>
      <c r="G65">
        <v>12</v>
      </c>
    </row>
    <row r="66" spans="1:7" x14ac:dyDescent="0.3">
      <c r="A66" t="s">
        <v>122</v>
      </c>
      <c r="B66" t="s">
        <v>29</v>
      </c>
      <c r="C66">
        <v>25</v>
      </c>
      <c r="D66" t="s">
        <v>20</v>
      </c>
      <c r="E66" t="s">
        <v>20</v>
      </c>
      <c r="F66">
        <v>21</v>
      </c>
      <c r="G66">
        <v>12</v>
      </c>
    </row>
    <row r="67" spans="1:7" x14ac:dyDescent="0.3">
      <c r="A67" t="s">
        <v>165</v>
      </c>
      <c r="B67" t="s">
        <v>64</v>
      </c>
      <c r="C67">
        <v>24</v>
      </c>
      <c r="D67" t="s">
        <v>20</v>
      </c>
      <c r="E67" t="s">
        <v>83</v>
      </c>
      <c r="F67">
        <v>14</v>
      </c>
      <c r="G67">
        <v>12</v>
      </c>
    </row>
    <row r="68" spans="1:7" x14ac:dyDescent="0.3">
      <c r="A68" t="s">
        <v>194</v>
      </c>
      <c r="B68" t="s">
        <v>42</v>
      </c>
      <c r="C68">
        <v>23</v>
      </c>
      <c r="D68" t="s">
        <v>20</v>
      </c>
      <c r="E68" t="s">
        <v>48</v>
      </c>
      <c r="F68">
        <v>12</v>
      </c>
      <c r="G68">
        <v>12</v>
      </c>
    </row>
    <row r="69" spans="1:7" x14ac:dyDescent="0.3">
      <c r="A69" t="s">
        <v>271</v>
      </c>
      <c r="B69" t="s">
        <v>142</v>
      </c>
      <c r="C69">
        <v>29</v>
      </c>
      <c r="D69" t="s">
        <v>20</v>
      </c>
      <c r="E69" t="s">
        <v>27</v>
      </c>
      <c r="F69">
        <v>8</v>
      </c>
      <c r="G69">
        <v>12</v>
      </c>
    </row>
    <row r="70" spans="1:7" x14ac:dyDescent="0.3">
      <c r="A70" t="s">
        <v>292</v>
      </c>
      <c r="B70" t="s">
        <v>178</v>
      </c>
      <c r="C70">
        <v>26</v>
      </c>
      <c r="D70" t="s">
        <v>20</v>
      </c>
      <c r="E70" t="s">
        <v>23</v>
      </c>
      <c r="F70">
        <v>7</v>
      </c>
      <c r="G70">
        <v>12</v>
      </c>
    </row>
    <row r="71" spans="1:7" x14ac:dyDescent="0.3">
      <c r="A71" t="s">
        <v>181</v>
      </c>
      <c r="B71" t="s">
        <v>157</v>
      </c>
      <c r="C71">
        <v>29</v>
      </c>
      <c r="D71" t="s">
        <v>20</v>
      </c>
      <c r="E71" t="s">
        <v>27</v>
      </c>
      <c r="F71">
        <v>13</v>
      </c>
      <c r="G71">
        <v>11.5</v>
      </c>
    </row>
    <row r="72" spans="1:7" x14ac:dyDescent="0.3">
      <c r="A72" s="19" t="s">
        <v>267</v>
      </c>
      <c r="B72" t="s">
        <v>45</v>
      </c>
      <c r="C72">
        <v>20</v>
      </c>
      <c r="D72" t="s">
        <v>20</v>
      </c>
      <c r="E72" t="s">
        <v>23</v>
      </c>
      <c r="F72">
        <v>8</v>
      </c>
      <c r="G72">
        <v>11</v>
      </c>
    </row>
    <row r="73" spans="1:7" x14ac:dyDescent="0.3">
      <c r="A73" s="19" t="s">
        <v>303</v>
      </c>
      <c r="B73" t="s">
        <v>94</v>
      </c>
      <c r="C73">
        <v>25</v>
      </c>
      <c r="D73" t="s">
        <v>20</v>
      </c>
      <c r="E73" t="s">
        <v>20</v>
      </c>
      <c r="F73">
        <v>7</v>
      </c>
      <c r="G73">
        <v>11</v>
      </c>
    </row>
    <row r="74" spans="1:7" x14ac:dyDescent="0.3">
      <c r="A74" t="s">
        <v>105</v>
      </c>
      <c r="B74" t="s">
        <v>14</v>
      </c>
      <c r="C74">
        <v>33</v>
      </c>
      <c r="D74" t="s">
        <v>20</v>
      </c>
      <c r="E74" t="s">
        <v>96</v>
      </c>
      <c r="F74">
        <v>24</v>
      </c>
      <c r="G74">
        <v>10</v>
      </c>
    </row>
    <row r="75" spans="1:7" x14ac:dyDescent="0.3">
      <c r="A75" t="s">
        <v>124</v>
      </c>
      <c r="B75" t="s">
        <v>7</v>
      </c>
      <c r="C75">
        <v>32</v>
      </c>
      <c r="D75" t="s">
        <v>20</v>
      </c>
      <c r="E75" t="s">
        <v>20</v>
      </c>
      <c r="F75">
        <v>21</v>
      </c>
      <c r="G75">
        <v>10</v>
      </c>
    </row>
    <row r="76" spans="1:7" x14ac:dyDescent="0.3">
      <c r="A76" t="s">
        <v>182</v>
      </c>
      <c r="B76" t="s">
        <v>7</v>
      </c>
      <c r="C76">
        <v>23</v>
      </c>
      <c r="D76" t="s">
        <v>20</v>
      </c>
      <c r="E76" t="s">
        <v>20</v>
      </c>
      <c r="F76">
        <v>13</v>
      </c>
      <c r="G76">
        <v>10</v>
      </c>
    </row>
    <row r="77" spans="1:7" x14ac:dyDescent="0.3">
      <c r="A77" t="s">
        <v>446</v>
      </c>
      <c r="B77" t="s">
        <v>45</v>
      </c>
      <c r="C77">
        <v>21</v>
      </c>
      <c r="D77" t="s">
        <v>20</v>
      </c>
      <c r="E77" t="s">
        <v>27</v>
      </c>
      <c r="F77">
        <v>3</v>
      </c>
      <c r="G77">
        <v>9</v>
      </c>
    </row>
    <row r="78" spans="1:7" x14ac:dyDescent="0.3">
      <c r="A78" t="s">
        <v>95</v>
      </c>
      <c r="B78" t="s">
        <v>25</v>
      </c>
      <c r="C78">
        <v>22</v>
      </c>
      <c r="D78" t="s">
        <v>20</v>
      </c>
      <c r="E78" t="s">
        <v>96</v>
      </c>
      <c r="F78">
        <v>26</v>
      </c>
      <c r="G78">
        <v>8</v>
      </c>
    </row>
    <row r="79" spans="1:7" x14ac:dyDescent="0.3">
      <c r="A79" t="s">
        <v>167</v>
      </c>
      <c r="B79" t="s">
        <v>31</v>
      </c>
      <c r="C79">
        <v>29</v>
      </c>
      <c r="D79" t="s">
        <v>20</v>
      </c>
      <c r="E79" t="s">
        <v>20</v>
      </c>
      <c r="F79">
        <v>14</v>
      </c>
      <c r="G79">
        <v>8</v>
      </c>
    </row>
    <row r="80" spans="1:7" x14ac:dyDescent="0.3">
      <c r="A80" t="s">
        <v>269</v>
      </c>
      <c r="B80" t="s">
        <v>178</v>
      </c>
      <c r="C80">
        <v>23</v>
      </c>
      <c r="D80" t="s">
        <v>20</v>
      </c>
      <c r="E80" t="s">
        <v>23</v>
      </c>
      <c r="F80">
        <v>8</v>
      </c>
      <c r="G8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Lista calciatori</vt:lpstr>
      <vt:lpstr>Foglio1</vt:lpstr>
      <vt:lpstr>medie scorse stagioni</vt:lpstr>
      <vt:lpstr>Foglio6</vt:lpstr>
      <vt:lpstr>porta</vt:lpstr>
      <vt:lpstr>dif</vt:lpstr>
      <vt:lpstr>ipotetica rossa</vt:lpstr>
      <vt:lpstr>cc</vt:lpstr>
      <vt:lpstr>att</vt:lpstr>
      <vt:lpstr>low cost</vt:lpstr>
      <vt:lpstr>60 att titolari</vt:lpstr>
      <vt:lpstr>80 difensori titolari</vt:lpstr>
      <vt:lpstr>80 cc titolari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2026-08-23T13:55:24Z</dcterms:modified>
</cp:coreProperties>
</file>