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E:\--- fantacalcio tot uff\26-27\"/>
    </mc:Choice>
  </mc:AlternateContent>
  <xr:revisionPtr revIDLastSave="0" documentId="13_ncr:1_{A48FDBE5-B9A0-4C46-A023-45C0127722B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Foglio1" sheetId="1" r:id="rId1"/>
    <sheet name="Foglio2" sheetId="2" r:id="rId2"/>
    <sheet name="Foglio3" sheetId="3" r:id="rId3"/>
    <sheet name="Foglio4" sheetId="8" r:id="rId4"/>
    <sheet name="dashboard" sheetId="4" r:id="rId5"/>
    <sheet name="dashboard giocatori" sheetId="7" r:id="rId6"/>
  </sheets>
  <definedNames>
    <definedName name="_xleta.LARGE" hidden="1" xlm="1">#NAME?</definedName>
    <definedName name="_xleta.LOOKUP" hidden="1" xlm="1">#NAME?</definedName>
    <definedName name="_xleta.SMALL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8" i="3" l="1"/>
  <c r="AD20" i="3"/>
  <c r="Z18" i="3"/>
  <c r="Z20" i="3"/>
  <c r="L18" i="3"/>
  <c r="L19" i="3"/>
  <c r="L20" i="3"/>
  <c r="H18" i="3"/>
  <c r="H19" i="3"/>
  <c r="H20" i="3"/>
  <c r="AJ18" i="3"/>
  <c r="AJ19" i="3"/>
  <c r="AJ20" i="3"/>
  <c r="T18" i="3"/>
  <c r="T19" i="3"/>
  <c r="T20" i="3"/>
  <c r="AF18" i="3"/>
  <c r="AF19" i="3"/>
  <c r="AF20" i="3"/>
  <c r="D18" i="3"/>
  <c r="D19" i="3"/>
  <c r="D20" i="3"/>
  <c r="B20" i="8"/>
  <c r="B21" i="8"/>
  <c r="B22" i="8"/>
  <c r="B23" i="8"/>
  <c r="B24" i="8"/>
  <c r="B25" i="8"/>
  <c r="B26" i="8"/>
  <c r="B27" i="8"/>
  <c r="B28" i="8"/>
  <c r="B19" i="8"/>
  <c r="B5" i="8"/>
  <c r="B6" i="8"/>
  <c r="B7" i="8"/>
  <c r="B8" i="8"/>
  <c r="B9" i="8"/>
  <c r="B10" i="8"/>
  <c r="B11" i="8"/>
  <c r="B12" i="8"/>
  <c r="B13" i="8"/>
  <c r="B4" i="8"/>
  <c r="AA6" i="1" l="1"/>
  <c r="AA7" i="1"/>
  <c r="AA8" i="1"/>
  <c r="AA9" i="1"/>
  <c r="AA10" i="1"/>
  <c r="AA11" i="1"/>
  <c r="AA12" i="1"/>
  <c r="AA13" i="1"/>
  <c r="AA14" i="1"/>
  <c r="AB6" i="1"/>
  <c r="AB7" i="1"/>
  <c r="AB8" i="1"/>
  <c r="AB9" i="1"/>
  <c r="AB10" i="1"/>
  <c r="AB11" i="1"/>
  <c r="AB12" i="1"/>
  <c r="AB13" i="1"/>
  <c r="AB14" i="1"/>
  <c r="AB5" i="1"/>
  <c r="AA5" i="1"/>
  <c r="F15" i="3"/>
  <c r="F17" i="3"/>
  <c r="D15" i="3"/>
  <c r="D16" i="3"/>
  <c r="D17" i="3"/>
  <c r="AN15" i="3"/>
  <c r="AN16" i="3"/>
  <c r="AN17" i="3"/>
  <c r="AP17" i="3"/>
  <c r="L13" i="3"/>
  <c r="L14" i="3"/>
  <c r="L15" i="3"/>
  <c r="L16" i="3"/>
  <c r="L17" i="3"/>
  <c r="J14" i="3"/>
  <c r="H13" i="3"/>
  <c r="H14" i="3"/>
  <c r="H15" i="3"/>
  <c r="H16" i="3"/>
  <c r="H17" i="3"/>
  <c r="P13" i="3"/>
  <c r="P14" i="3"/>
  <c r="P15" i="3"/>
  <c r="P16" i="3"/>
  <c r="P17" i="3"/>
  <c r="AJ16" i="3"/>
  <c r="AJ17" i="3"/>
  <c r="AB15" i="3"/>
  <c r="D7" i="3" s="1"/>
  <c r="AB16" i="3"/>
  <c r="AB17" i="3"/>
  <c r="AJ15" i="3"/>
  <c r="AF13" i="3"/>
  <c r="AF14" i="3"/>
  <c r="AF15" i="3"/>
  <c r="AF16" i="3"/>
  <c r="AF17" i="3"/>
  <c r="X13" i="3"/>
  <c r="X14" i="3"/>
  <c r="X15" i="3"/>
  <c r="X16" i="3"/>
  <c r="X17" i="3"/>
  <c r="AO110" i="3"/>
  <c r="AN110" i="3"/>
  <c r="AK110" i="3"/>
  <c r="AJ110" i="3"/>
  <c r="AG110" i="3"/>
  <c r="AF110" i="3"/>
  <c r="AC110" i="3"/>
  <c r="AB110" i="3"/>
  <c r="Y110" i="3"/>
  <c r="X110" i="3"/>
  <c r="U110" i="3"/>
  <c r="T110" i="3"/>
  <c r="Q110" i="3"/>
  <c r="P110" i="3"/>
  <c r="M110" i="3"/>
  <c r="L110" i="3"/>
  <c r="I110" i="3"/>
  <c r="H110" i="3"/>
  <c r="E110" i="3"/>
  <c r="D110" i="3"/>
  <c r="AO109" i="3"/>
  <c r="AN109" i="3"/>
  <c r="AK109" i="3"/>
  <c r="AJ109" i="3"/>
  <c r="AG109" i="3"/>
  <c r="AF109" i="3"/>
  <c r="AC109" i="3"/>
  <c r="AB109" i="3"/>
  <c r="Y109" i="3"/>
  <c r="X109" i="3"/>
  <c r="U109" i="3"/>
  <c r="T109" i="3"/>
  <c r="Q109" i="3"/>
  <c r="P109" i="3"/>
  <c r="M109" i="3"/>
  <c r="L109" i="3"/>
  <c r="I109" i="3"/>
  <c r="H109" i="3"/>
  <c r="E109" i="3"/>
  <c r="D109" i="3"/>
  <c r="AO108" i="3"/>
  <c r="AN108" i="3"/>
  <c r="AK108" i="3"/>
  <c r="AJ108" i="3"/>
  <c r="AG108" i="3"/>
  <c r="AF108" i="3"/>
  <c r="AC108" i="3"/>
  <c r="AB108" i="3"/>
  <c r="Y108" i="3"/>
  <c r="X108" i="3"/>
  <c r="U108" i="3"/>
  <c r="T108" i="3"/>
  <c r="Q108" i="3"/>
  <c r="P108" i="3"/>
  <c r="M108" i="3"/>
  <c r="L108" i="3"/>
  <c r="I108" i="3"/>
  <c r="H108" i="3"/>
  <c r="E108" i="3"/>
  <c r="D108" i="3"/>
  <c r="AO107" i="3"/>
  <c r="AN107" i="3"/>
  <c r="AK107" i="3"/>
  <c r="AJ107" i="3"/>
  <c r="AG107" i="3"/>
  <c r="AF107" i="3"/>
  <c r="AC107" i="3"/>
  <c r="AB107" i="3"/>
  <c r="Y107" i="3"/>
  <c r="X107" i="3"/>
  <c r="U107" i="3"/>
  <c r="T107" i="3"/>
  <c r="Q107" i="3"/>
  <c r="P107" i="3"/>
  <c r="M107" i="3"/>
  <c r="L107" i="3"/>
  <c r="I107" i="3"/>
  <c r="H107" i="3"/>
  <c r="E107" i="3"/>
  <c r="D107" i="3"/>
  <c r="AO106" i="3"/>
  <c r="AN106" i="3"/>
  <c r="AK106" i="3"/>
  <c r="AJ106" i="3"/>
  <c r="AG106" i="3"/>
  <c r="AF106" i="3"/>
  <c r="AC106" i="3"/>
  <c r="AB106" i="3"/>
  <c r="Y106" i="3"/>
  <c r="X106" i="3"/>
  <c r="U106" i="3"/>
  <c r="T106" i="3"/>
  <c r="Q106" i="3"/>
  <c r="P106" i="3"/>
  <c r="M106" i="3"/>
  <c r="L106" i="3"/>
  <c r="I106" i="3"/>
  <c r="H106" i="3"/>
  <c r="E106" i="3"/>
  <c r="D106" i="3"/>
  <c r="AO105" i="3"/>
  <c r="AN105" i="3"/>
  <c r="AK105" i="3"/>
  <c r="AJ105" i="3"/>
  <c r="AG105" i="3"/>
  <c r="AF105" i="3"/>
  <c r="AC105" i="3"/>
  <c r="AB105" i="3"/>
  <c r="Y105" i="3"/>
  <c r="X105" i="3"/>
  <c r="U105" i="3"/>
  <c r="T105" i="3"/>
  <c r="Q105" i="3"/>
  <c r="P105" i="3"/>
  <c r="M105" i="3"/>
  <c r="L105" i="3"/>
  <c r="I105" i="3"/>
  <c r="H105" i="3"/>
  <c r="E105" i="3"/>
  <c r="D105" i="3"/>
  <c r="AO104" i="3"/>
  <c r="AN104" i="3"/>
  <c r="AK104" i="3"/>
  <c r="AJ104" i="3"/>
  <c r="AG104" i="3"/>
  <c r="AF104" i="3"/>
  <c r="AC104" i="3"/>
  <c r="AB104" i="3"/>
  <c r="Y104" i="3"/>
  <c r="X104" i="3"/>
  <c r="U104" i="3"/>
  <c r="T104" i="3"/>
  <c r="Q104" i="3"/>
  <c r="P104" i="3"/>
  <c r="M104" i="3"/>
  <c r="L104" i="3"/>
  <c r="I104" i="3"/>
  <c r="H104" i="3"/>
  <c r="E104" i="3"/>
  <c r="D104" i="3"/>
  <c r="AO103" i="3"/>
  <c r="AN103" i="3"/>
  <c r="AK103" i="3"/>
  <c r="AJ103" i="3"/>
  <c r="AG103" i="3"/>
  <c r="AF103" i="3"/>
  <c r="AC103" i="3"/>
  <c r="AB103" i="3"/>
  <c r="Y103" i="3"/>
  <c r="X103" i="3"/>
  <c r="U103" i="3"/>
  <c r="T103" i="3"/>
  <c r="Q103" i="3"/>
  <c r="P103" i="3"/>
  <c r="M103" i="3"/>
  <c r="L103" i="3"/>
  <c r="I103" i="3"/>
  <c r="H103" i="3"/>
  <c r="E103" i="3"/>
  <c r="D103" i="3"/>
  <c r="AO102" i="3"/>
  <c r="AN102" i="3"/>
  <c r="AK102" i="3"/>
  <c r="AJ102" i="3"/>
  <c r="AG102" i="3"/>
  <c r="AF102" i="3"/>
  <c r="AC102" i="3"/>
  <c r="AB102" i="3"/>
  <c r="Y102" i="3"/>
  <c r="X102" i="3"/>
  <c r="U102" i="3"/>
  <c r="T102" i="3"/>
  <c r="Q102" i="3"/>
  <c r="P102" i="3"/>
  <c r="M102" i="3"/>
  <c r="L102" i="3"/>
  <c r="I102" i="3"/>
  <c r="H102" i="3"/>
  <c r="E102" i="3"/>
  <c r="D102" i="3"/>
  <c r="AO101" i="3"/>
  <c r="AN101" i="3"/>
  <c r="AK101" i="3"/>
  <c r="AJ101" i="3"/>
  <c r="AG101" i="3"/>
  <c r="AF101" i="3"/>
  <c r="AC101" i="3"/>
  <c r="AB101" i="3"/>
  <c r="Y101" i="3"/>
  <c r="X101" i="3"/>
  <c r="U101" i="3"/>
  <c r="T101" i="3"/>
  <c r="Q101" i="3"/>
  <c r="P101" i="3"/>
  <c r="M101" i="3"/>
  <c r="L101" i="3"/>
  <c r="I101" i="3"/>
  <c r="H101" i="3"/>
  <c r="E101" i="3"/>
  <c r="D101" i="3"/>
  <c r="AO100" i="3"/>
  <c r="AN100" i="3"/>
  <c r="AK100" i="3"/>
  <c r="AJ100" i="3"/>
  <c r="AG100" i="3"/>
  <c r="AF100" i="3"/>
  <c r="AC100" i="3"/>
  <c r="AB100" i="3"/>
  <c r="Y100" i="3"/>
  <c r="X100" i="3"/>
  <c r="U100" i="3"/>
  <c r="T100" i="3"/>
  <c r="Q100" i="3"/>
  <c r="P100" i="3"/>
  <c r="M100" i="3"/>
  <c r="L100" i="3"/>
  <c r="I100" i="3"/>
  <c r="H100" i="3"/>
  <c r="E100" i="3"/>
  <c r="D100" i="3"/>
  <c r="AO99" i="3"/>
  <c r="AN99" i="3"/>
  <c r="AK99" i="3"/>
  <c r="AJ99" i="3"/>
  <c r="AG99" i="3"/>
  <c r="AF99" i="3"/>
  <c r="AC99" i="3"/>
  <c r="AB99" i="3"/>
  <c r="Y99" i="3"/>
  <c r="X99" i="3"/>
  <c r="U99" i="3"/>
  <c r="T99" i="3"/>
  <c r="Q99" i="3"/>
  <c r="P99" i="3"/>
  <c r="M99" i="3"/>
  <c r="L99" i="3"/>
  <c r="I99" i="3"/>
  <c r="H99" i="3"/>
  <c r="E99" i="3"/>
  <c r="D99" i="3"/>
  <c r="AO98" i="3"/>
  <c r="AN98" i="3"/>
  <c r="AK98" i="3"/>
  <c r="AJ98" i="3"/>
  <c r="AG98" i="3"/>
  <c r="AF98" i="3"/>
  <c r="AC98" i="3"/>
  <c r="AB98" i="3"/>
  <c r="D98" i="3" s="1"/>
  <c r="Y98" i="3"/>
  <c r="X98" i="3"/>
  <c r="U98" i="3"/>
  <c r="T98" i="3"/>
  <c r="Q98" i="3"/>
  <c r="P98" i="3"/>
  <c r="M98" i="3"/>
  <c r="L98" i="3"/>
  <c r="I98" i="3"/>
  <c r="H98" i="3"/>
  <c r="E98" i="3"/>
  <c r="AO97" i="3"/>
  <c r="AN97" i="3"/>
  <c r="AK97" i="3"/>
  <c r="AJ97" i="3"/>
  <c r="AG97" i="3"/>
  <c r="AF97" i="3"/>
  <c r="AC97" i="3"/>
  <c r="AB97" i="3"/>
  <c r="Y97" i="3"/>
  <c r="X97" i="3"/>
  <c r="U97" i="3"/>
  <c r="T97" i="3"/>
  <c r="Q97" i="3"/>
  <c r="P97" i="3"/>
  <c r="M97" i="3"/>
  <c r="L97" i="3"/>
  <c r="I97" i="3"/>
  <c r="H97" i="3"/>
  <c r="E97" i="3"/>
  <c r="D97" i="3"/>
  <c r="AO96" i="3"/>
  <c r="AN96" i="3"/>
  <c r="AK96" i="3"/>
  <c r="AJ96" i="3"/>
  <c r="AG96" i="3"/>
  <c r="AF96" i="3"/>
  <c r="AC96" i="3"/>
  <c r="AB96" i="3"/>
  <c r="Y96" i="3"/>
  <c r="X96" i="3"/>
  <c r="U96" i="3"/>
  <c r="T96" i="3"/>
  <c r="Q96" i="3"/>
  <c r="P96" i="3"/>
  <c r="M96" i="3"/>
  <c r="L96" i="3"/>
  <c r="I96" i="3"/>
  <c r="H96" i="3"/>
  <c r="E96" i="3"/>
  <c r="D96" i="3"/>
  <c r="AO95" i="3"/>
  <c r="AN95" i="3"/>
  <c r="AK95" i="3"/>
  <c r="AJ95" i="3"/>
  <c r="AG95" i="3"/>
  <c r="AF95" i="3"/>
  <c r="AC95" i="3"/>
  <c r="AB95" i="3"/>
  <c r="Y95" i="3"/>
  <c r="X95" i="3"/>
  <c r="U95" i="3"/>
  <c r="T95" i="3"/>
  <c r="Q95" i="3"/>
  <c r="P95" i="3"/>
  <c r="M95" i="3"/>
  <c r="L95" i="3"/>
  <c r="I95" i="3"/>
  <c r="H95" i="3"/>
  <c r="E95" i="3"/>
  <c r="D95" i="3"/>
  <c r="AO94" i="3"/>
  <c r="AN94" i="3"/>
  <c r="AK94" i="3"/>
  <c r="AJ94" i="3"/>
  <c r="AG94" i="3"/>
  <c r="AF94" i="3"/>
  <c r="AC94" i="3"/>
  <c r="AB94" i="3"/>
  <c r="Y94" i="3"/>
  <c r="X94" i="3"/>
  <c r="U94" i="3"/>
  <c r="T94" i="3"/>
  <c r="Q94" i="3"/>
  <c r="P94" i="3"/>
  <c r="M94" i="3"/>
  <c r="L94" i="3"/>
  <c r="I94" i="3"/>
  <c r="H94" i="3"/>
  <c r="E94" i="3"/>
  <c r="D94" i="3"/>
  <c r="AO93" i="3"/>
  <c r="AN93" i="3"/>
  <c r="AK93" i="3"/>
  <c r="AJ93" i="3"/>
  <c r="AG93" i="3"/>
  <c r="AF93" i="3"/>
  <c r="AC93" i="3"/>
  <c r="AB93" i="3"/>
  <c r="Y93" i="3"/>
  <c r="X93" i="3"/>
  <c r="U93" i="3"/>
  <c r="T93" i="3"/>
  <c r="Q93" i="3"/>
  <c r="P93" i="3"/>
  <c r="M93" i="3"/>
  <c r="L93" i="3"/>
  <c r="I93" i="3"/>
  <c r="H93" i="3"/>
  <c r="E93" i="3"/>
  <c r="D93" i="3"/>
  <c r="AO92" i="3"/>
  <c r="AN92" i="3"/>
  <c r="AK92" i="3"/>
  <c r="AJ92" i="3"/>
  <c r="AG92" i="3"/>
  <c r="AF92" i="3"/>
  <c r="AC92" i="3"/>
  <c r="AB92" i="3"/>
  <c r="Y92" i="3"/>
  <c r="X92" i="3"/>
  <c r="U92" i="3"/>
  <c r="T92" i="3"/>
  <c r="Q92" i="3"/>
  <c r="P92" i="3"/>
  <c r="M92" i="3"/>
  <c r="L92" i="3"/>
  <c r="I92" i="3"/>
  <c r="H92" i="3"/>
  <c r="E92" i="3"/>
  <c r="D92" i="3"/>
  <c r="AO91" i="3"/>
  <c r="AN91" i="3"/>
  <c r="AK91" i="3"/>
  <c r="AJ91" i="3"/>
  <c r="AG91" i="3"/>
  <c r="AF91" i="3"/>
  <c r="AC91" i="3"/>
  <c r="AB91" i="3"/>
  <c r="Y91" i="3"/>
  <c r="X91" i="3"/>
  <c r="U91" i="3"/>
  <c r="T91" i="3"/>
  <c r="Q91" i="3"/>
  <c r="P91" i="3"/>
  <c r="M91" i="3"/>
  <c r="L91" i="3"/>
  <c r="I91" i="3"/>
  <c r="H91" i="3"/>
  <c r="E91" i="3"/>
  <c r="D91" i="3"/>
  <c r="AO90" i="3"/>
  <c r="AN90" i="3"/>
  <c r="AK90" i="3"/>
  <c r="AJ90" i="3"/>
  <c r="AG90" i="3"/>
  <c r="AF90" i="3"/>
  <c r="AC90" i="3"/>
  <c r="AB90" i="3"/>
  <c r="Y90" i="3"/>
  <c r="X90" i="3"/>
  <c r="U90" i="3"/>
  <c r="T90" i="3"/>
  <c r="Q90" i="3"/>
  <c r="P90" i="3"/>
  <c r="M90" i="3"/>
  <c r="L90" i="3"/>
  <c r="I90" i="3"/>
  <c r="H90" i="3"/>
  <c r="E90" i="3"/>
  <c r="D90" i="3"/>
  <c r="AO89" i="3"/>
  <c r="AN89" i="3"/>
  <c r="AK89" i="3"/>
  <c r="AJ89" i="3"/>
  <c r="AG89" i="3"/>
  <c r="AF89" i="3"/>
  <c r="AC89" i="3"/>
  <c r="AB89" i="3"/>
  <c r="Y89" i="3"/>
  <c r="X89" i="3"/>
  <c r="U89" i="3"/>
  <c r="T89" i="3"/>
  <c r="Q89" i="3"/>
  <c r="P89" i="3"/>
  <c r="M89" i="3"/>
  <c r="L89" i="3"/>
  <c r="I89" i="3"/>
  <c r="H89" i="3"/>
  <c r="E89" i="3"/>
  <c r="D89" i="3"/>
  <c r="AO88" i="3"/>
  <c r="AN88" i="3"/>
  <c r="AK88" i="3"/>
  <c r="AJ88" i="3"/>
  <c r="AG88" i="3"/>
  <c r="AF88" i="3"/>
  <c r="AC88" i="3"/>
  <c r="AB88" i="3"/>
  <c r="Y88" i="3"/>
  <c r="X88" i="3"/>
  <c r="U88" i="3"/>
  <c r="T88" i="3"/>
  <c r="Q88" i="3"/>
  <c r="P88" i="3"/>
  <c r="M88" i="3"/>
  <c r="L88" i="3"/>
  <c r="I88" i="3"/>
  <c r="H88" i="3"/>
  <c r="E88" i="3"/>
  <c r="D88" i="3"/>
  <c r="AO87" i="3"/>
  <c r="AN87" i="3"/>
  <c r="AK87" i="3"/>
  <c r="AJ87" i="3"/>
  <c r="AG87" i="3"/>
  <c r="AF87" i="3"/>
  <c r="AC87" i="3"/>
  <c r="AB87" i="3"/>
  <c r="Y87" i="3"/>
  <c r="X87" i="3"/>
  <c r="U87" i="3"/>
  <c r="T87" i="3"/>
  <c r="Q87" i="3"/>
  <c r="P87" i="3"/>
  <c r="M87" i="3"/>
  <c r="L87" i="3"/>
  <c r="I87" i="3"/>
  <c r="H87" i="3"/>
  <c r="E87" i="3"/>
  <c r="D87" i="3"/>
  <c r="AO86" i="3"/>
  <c r="AN86" i="3"/>
  <c r="AK86" i="3"/>
  <c r="AJ86" i="3"/>
  <c r="AG86" i="3"/>
  <c r="AF86" i="3"/>
  <c r="AC86" i="3"/>
  <c r="AB86" i="3"/>
  <c r="Y86" i="3"/>
  <c r="X86" i="3"/>
  <c r="U86" i="3"/>
  <c r="T86" i="3"/>
  <c r="Q86" i="3"/>
  <c r="P86" i="3"/>
  <c r="M86" i="3"/>
  <c r="L86" i="3"/>
  <c r="I86" i="3"/>
  <c r="H86" i="3"/>
  <c r="E86" i="3"/>
  <c r="D86" i="3"/>
  <c r="AO85" i="3"/>
  <c r="AN85" i="3"/>
  <c r="AK85" i="3"/>
  <c r="AJ85" i="3"/>
  <c r="AG85" i="3"/>
  <c r="AF85" i="3"/>
  <c r="AC85" i="3"/>
  <c r="AB85" i="3"/>
  <c r="Y85" i="3"/>
  <c r="X85" i="3"/>
  <c r="U85" i="3"/>
  <c r="T85" i="3"/>
  <c r="Q85" i="3"/>
  <c r="P85" i="3"/>
  <c r="M85" i="3"/>
  <c r="L85" i="3"/>
  <c r="I85" i="3"/>
  <c r="H85" i="3"/>
  <c r="E85" i="3"/>
  <c r="D85" i="3"/>
  <c r="AO84" i="3"/>
  <c r="AN84" i="3"/>
  <c r="AK84" i="3"/>
  <c r="AJ84" i="3"/>
  <c r="AG84" i="3"/>
  <c r="AF84" i="3"/>
  <c r="AC84" i="3"/>
  <c r="AB84" i="3"/>
  <c r="Y84" i="3"/>
  <c r="X84" i="3"/>
  <c r="U84" i="3"/>
  <c r="T84" i="3"/>
  <c r="Q84" i="3"/>
  <c r="P84" i="3"/>
  <c r="M84" i="3"/>
  <c r="L84" i="3"/>
  <c r="I84" i="3"/>
  <c r="H84" i="3"/>
  <c r="E84" i="3"/>
  <c r="D84" i="3"/>
  <c r="AO83" i="3"/>
  <c r="AN83" i="3"/>
  <c r="AK83" i="3"/>
  <c r="AJ83" i="3"/>
  <c r="AG83" i="3"/>
  <c r="AF83" i="3"/>
  <c r="AC83" i="3"/>
  <c r="AB83" i="3"/>
  <c r="Y83" i="3"/>
  <c r="X83" i="3"/>
  <c r="U83" i="3"/>
  <c r="T83" i="3"/>
  <c r="Q83" i="3"/>
  <c r="P83" i="3"/>
  <c r="M83" i="3"/>
  <c r="L83" i="3"/>
  <c r="I83" i="3"/>
  <c r="H83" i="3"/>
  <c r="E83" i="3"/>
  <c r="D83" i="3"/>
  <c r="AO82" i="3"/>
  <c r="AN82" i="3"/>
  <c r="AK82" i="3"/>
  <c r="AJ82" i="3"/>
  <c r="AG82" i="3"/>
  <c r="AF82" i="3"/>
  <c r="AC82" i="3"/>
  <c r="AB82" i="3"/>
  <c r="Y82" i="3"/>
  <c r="X82" i="3"/>
  <c r="U82" i="3"/>
  <c r="T82" i="3"/>
  <c r="Q82" i="3"/>
  <c r="P82" i="3"/>
  <c r="M82" i="3"/>
  <c r="L82" i="3"/>
  <c r="I82" i="3"/>
  <c r="H82" i="3"/>
  <c r="E82" i="3"/>
  <c r="D82" i="3"/>
  <c r="AO81" i="3"/>
  <c r="AN81" i="3"/>
  <c r="AK81" i="3"/>
  <c r="AJ81" i="3"/>
  <c r="AG81" i="3"/>
  <c r="AF81" i="3"/>
  <c r="AC81" i="3"/>
  <c r="AB81" i="3"/>
  <c r="Y81" i="3"/>
  <c r="X81" i="3"/>
  <c r="U81" i="3"/>
  <c r="T81" i="3"/>
  <c r="Q81" i="3"/>
  <c r="P81" i="3"/>
  <c r="M81" i="3"/>
  <c r="L81" i="3"/>
  <c r="I81" i="3"/>
  <c r="H81" i="3"/>
  <c r="E81" i="3"/>
  <c r="D81" i="3"/>
  <c r="AO80" i="3"/>
  <c r="AN80" i="3"/>
  <c r="AK80" i="3"/>
  <c r="AJ80" i="3"/>
  <c r="AG80" i="3"/>
  <c r="AF80" i="3"/>
  <c r="AC80" i="3"/>
  <c r="AB80" i="3"/>
  <c r="Y80" i="3"/>
  <c r="X80" i="3"/>
  <c r="U80" i="3"/>
  <c r="T80" i="3"/>
  <c r="Q80" i="3"/>
  <c r="P80" i="3"/>
  <c r="M80" i="3"/>
  <c r="L80" i="3"/>
  <c r="I80" i="3"/>
  <c r="H80" i="3"/>
  <c r="E80" i="3"/>
  <c r="D80" i="3"/>
  <c r="AO79" i="3"/>
  <c r="AN79" i="3"/>
  <c r="AK79" i="3"/>
  <c r="AJ79" i="3"/>
  <c r="AG79" i="3"/>
  <c r="AF79" i="3"/>
  <c r="AC79" i="3"/>
  <c r="AB79" i="3"/>
  <c r="Y79" i="3"/>
  <c r="X79" i="3"/>
  <c r="U79" i="3"/>
  <c r="T79" i="3"/>
  <c r="Q79" i="3"/>
  <c r="P79" i="3"/>
  <c r="M79" i="3"/>
  <c r="L79" i="3"/>
  <c r="I79" i="3"/>
  <c r="H79" i="3"/>
  <c r="E79" i="3"/>
  <c r="D79" i="3"/>
  <c r="AO78" i="3"/>
  <c r="AN78" i="3"/>
  <c r="AK78" i="3"/>
  <c r="AJ78" i="3"/>
  <c r="AG78" i="3"/>
  <c r="AF78" i="3"/>
  <c r="AC78" i="3"/>
  <c r="AB78" i="3"/>
  <c r="Y78" i="3"/>
  <c r="X78" i="3"/>
  <c r="U78" i="3"/>
  <c r="T78" i="3"/>
  <c r="Q78" i="3"/>
  <c r="P78" i="3"/>
  <c r="M78" i="3"/>
  <c r="L78" i="3"/>
  <c r="I78" i="3"/>
  <c r="H78" i="3"/>
  <c r="E78" i="3"/>
  <c r="D78" i="3"/>
  <c r="AO77" i="3"/>
  <c r="AN77" i="3"/>
  <c r="AK77" i="3"/>
  <c r="AJ77" i="3"/>
  <c r="AG77" i="3"/>
  <c r="AF77" i="3"/>
  <c r="AC77" i="3"/>
  <c r="AB77" i="3"/>
  <c r="Y77" i="3"/>
  <c r="X77" i="3"/>
  <c r="U77" i="3"/>
  <c r="T77" i="3"/>
  <c r="Q77" i="3"/>
  <c r="P77" i="3"/>
  <c r="M77" i="3"/>
  <c r="L77" i="3"/>
  <c r="I77" i="3"/>
  <c r="H77" i="3"/>
  <c r="E77" i="3"/>
  <c r="D77" i="3"/>
  <c r="AO76" i="3"/>
  <c r="AN76" i="3"/>
  <c r="AK76" i="3"/>
  <c r="AJ76" i="3"/>
  <c r="AG76" i="3"/>
  <c r="AF76" i="3"/>
  <c r="AC76" i="3"/>
  <c r="AB76" i="3"/>
  <c r="Y76" i="3"/>
  <c r="X76" i="3"/>
  <c r="U76" i="3"/>
  <c r="T76" i="3"/>
  <c r="Q76" i="3"/>
  <c r="P76" i="3"/>
  <c r="M76" i="3"/>
  <c r="L76" i="3"/>
  <c r="I76" i="3"/>
  <c r="H76" i="3"/>
  <c r="E76" i="3"/>
  <c r="D76" i="3"/>
  <c r="AO75" i="3"/>
  <c r="AN75" i="3"/>
  <c r="AK75" i="3"/>
  <c r="AJ75" i="3"/>
  <c r="AG75" i="3"/>
  <c r="AF75" i="3"/>
  <c r="AC75" i="3"/>
  <c r="AB75" i="3"/>
  <c r="Y75" i="3"/>
  <c r="X75" i="3"/>
  <c r="U75" i="3"/>
  <c r="T75" i="3"/>
  <c r="Q75" i="3"/>
  <c r="P75" i="3"/>
  <c r="M75" i="3"/>
  <c r="L75" i="3"/>
  <c r="I75" i="3"/>
  <c r="H75" i="3"/>
  <c r="E75" i="3"/>
  <c r="D75" i="3"/>
  <c r="AO74" i="3"/>
  <c r="AN74" i="3"/>
  <c r="AK74" i="3"/>
  <c r="AJ74" i="3"/>
  <c r="AG74" i="3"/>
  <c r="AF74" i="3"/>
  <c r="AC74" i="3"/>
  <c r="AB74" i="3"/>
  <c r="Y74" i="3"/>
  <c r="X74" i="3"/>
  <c r="U74" i="3"/>
  <c r="T74" i="3"/>
  <c r="Q74" i="3"/>
  <c r="P74" i="3"/>
  <c r="M74" i="3"/>
  <c r="L74" i="3"/>
  <c r="I74" i="3"/>
  <c r="H74" i="3"/>
  <c r="E74" i="3"/>
  <c r="D74" i="3"/>
  <c r="AO73" i="3"/>
  <c r="AN73" i="3"/>
  <c r="AK73" i="3"/>
  <c r="AJ73" i="3"/>
  <c r="AG73" i="3"/>
  <c r="AF73" i="3"/>
  <c r="AC73" i="3"/>
  <c r="AB73" i="3"/>
  <c r="Y73" i="3"/>
  <c r="X73" i="3"/>
  <c r="U73" i="3"/>
  <c r="T73" i="3"/>
  <c r="Q73" i="3"/>
  <c r="P73" i="3"/>
  <c r="M73" i="3"/>
  <c r="L73" i="3"/>
  <c r="I73" i="3"/>
  <c r="H73" i="3"/>
  <c r="E73" i="3"/>
  <c r="D73" i="3"/>
  <c r="AO72" i="3"/>
  <c r="AN72" i="3"/>
  <c r="AK72" i="3"/>
  <c r="AJ72" i="3"/>
  <c r="AG72" i="3"/>
  <c r="AF72" i="3"/>
  <c r="AC72" i="3"/>
  <c r="AB72" i="3"/>
  <c r="Y72" i="3"/>
  <c r="X72" i="3"/>
  <c r="U72" i="3"/>
  <c r="T72" i="3"/>
  <c r="Q72" i="3"/>
  <c r="P72" i="3"/>
  <c r="M72" i="3"/>
  <c r="L72" i="3"/>
  <c r="I72" i="3"/>
  <c r="H72" i="3"/>
  <c r="E72" i="3"/>
  <c r="D72" i="3"/>
  <c r="AO71" i="3"/>
  <c r="AN71" i="3"/>
  <c r="AK71" i="3"/>
  <c r="AJ71" i="3"/>
  <c r="AG71" i="3"/>
  <c r="AF71" i="3"/>
  <c r="AC71" i="3"/>
  <c r="AB71" i="3"/>
  <c r="Y71" i="3"/>
  <c r="X71" i="3"/>
  <c r="U71" i="3"/>
  <c r="T71" i="3"/>
  <c r="Q71" i="3"/>
  <c r="P71" i="3"/>
  <c r="M71" i="3"/>
  <c r="L71" i="3"/>
  <c r="I71" i="3"/>
  <c r="H71" i="3"/>
  <c r="E71" i="3"/>
  <c r="D71" i="3"/>
  <c r="AO70" i="3"/>
  <c r="AN70" i="3"/>
  <c r="AK70" i="3"/>
  <c r="AJ70" i="3"/>
  <c r="AG70" i="3"/>
  <c r="AF70" i="3"/>
  <c r="AC70" i="3"/>
  <c r="AB70" i="3"/>
  <c r="Y70" i="3"/>
  <c r="X70" i="3"/>
  <c r="U70" i="3"/>
  <c r="T70" i="3"/>
  <c r="Q70" i="3"/>
  <c r="P70" i="3"/>
  <c r="M70" i="3"/>
  <c r="L70" i="3"/>
  <c r="I70" i="3"/>
  <c r="H70" i="3"/>
  <c r="E70" i="3"/>
  <c r="D70" i="3"/>
  <c r="AO69" i="3"/>
  <c r="AN69" i="3"/>
  <c r="AK69" i="3"/>
  <c r="AJ69" i="3"/>
  <c r="AG69" i="3"/>
  <c r="AF69" i="3"/>
  <c r="AC69" i="3"/>
  <c r="AB69" i="3"/>
  <c r="Y69" i="3"/>
  <c r="X69" i="3"/>
  <c r="U69" i="3"/>
  <c r="T69" i="3"/>
  <c r="Q69" i="3"/>
  <c r="P69" i="3"/>
  <c r="M69" i="3"/>
  <c r="L69" i="3"/>
  <c r="I69" i="3"/>
  <c r="H69" i="3"/>
  <c r="E69" i="3"/>
  <c r="D69" i="3"/>
  <c r="AO68" i="3"/>
  <c r="AN68" i="3"/>
  <c r="AK68" i="3"/>
  <c r="AJ68" i="3"/>
  <c r="AG68" i="3"/>
  <c r="AF68" i="3"/>
  <c r="AC68" i="3"/>
  <c r="AB68" i="3"/>
  <c r="Y68" i="3"/>
  <c r="X68" i="3"/>
  <c r="U68" i="3"/>
  <c r="T68" i="3"/>
  <c r="Q68" i="3"/>
  <c r="P68" i="3"/>
  <c r="M68" i="3"/>
  <c r="L68" i="3"/>
  <c r="I68" i="3"/>
  <c r="H68" i="3"/>
  <c r="E68" i="3"/>
  <c r="D68" i="3"/>
  <c r="AO67" i="3"/>
  <c r="AN67" i="3"/>
  <c r="AK67" i="3"/>
  <c r="AJ67" i="3"/>
  <c r="AG67" i="3"/>
  <c r="AF67" i="3"/>
  <c r="AC67" i="3"/>
  <c r="AB67" i="3"/>
  <c r="Y67" i="3"/>
  <c r="X67" i="3"/>
  <c r="U67" i="3"/>
  <c r="T67" i="3"/>
  <c r="Q67" i="3"/>
  <c r="P67" i="3"/>
  <c r="M67" i="3"/>
  <c r="L67" i="3"/>
  <c r="I67" i="3"/>
  <c r="H67" i="3"/>
  <c r="E67" i="3"/>
  <c r="D67" i="3"/>
  <c r="AO66" i="3"/>
  <c r="AN66" i="3"/>
  <c r="AK66" i="3"/>
  <c r="AJ66" i="3"/>
  <c r="AG66" i="3"/>
  <c r="AF66" i="3"/>
  <c r="AC66" i="3"/>
  <c r="AB66" i="3"/>
  <c r="Y66" i="3"/>
  <c r="X66" i="3"/>
  <c r="U66" i="3"/>
  <c r="T66" i="3"/>
  <c r="Q66" i="3"/>
  <c r="P66" i="3"/>
  <c r="M66" i="3"/>
  <c r="L66" i="3"/>
  <c r="I66" i="3"/>
  <c r="H66" i="3"/>
  <c r="E66" i="3"/>
  <c r="D66" i="3"/>
  <c r="AO65" i="3"/>
  <c r="AN65" i="3"/>
  <c r="AK65" i="3"/>
  <c r="AJ65" i="3"/>
  <c r="AG65" i="3"/>
  <c r="AF65" i="3"/>
  <c r="AC65" i="3"/>
  <c r="AB65" i="3"/>
  <c r="Y65" i="3"/>
  <c r="X65" i="3"/>
  <c r="U65" i="3"/>
  <c r="T65" i="3"/>
  <c r="Q65" i="3"/>
  <c r="P65" i="3"/>
  <c r="M65" i="3"/>
  <c r="L65" i="3"/>
  <c r="I65" i="3"/>
  <c r="H65" i="3"/>
  <c r="E65" i="3"/>
  <c r="D65" i="3"/>
  <c r="AO64" i="3"/>
  <c r="AN64" i="3"/>
  <c r="AK64" i="3"/>
  <c r="AJ64" i="3"/>
  <c r="AG64" i="3"/>
  <c r="AF64" i="3"/>
  <c r="AC64" i="3"/>
  <c r="AB64" i="3"/>
  <c r="Y64" i="3"/>
  <c r="X64" i="3"/>
  <c r="U64" i="3"/>
  <c r="T64" i="3"/>
  <c r="Q64" i="3"/>
  <c r="P64" i="3"/>
  <c r="M64" i="3"/>
  <c r="L64" i="3"/>
  <c r="I64" i="3"/>
  <c r="H64" i="3"/>
  <c r="E64" i="3"/>
  <c r="D64" i="3"/>
  <c r="AP63" i="3"/>
  <c r="AO63" i="3"/>
  <c r="AN63" i="3"/>
  <c r="AL63" i="3"/>
  <c r="AK63" i="3"/>
  <c r="AJ63" i="3"/>
  <c r="AG63" i="3"/>
  <c r="AH63" i="3" s="1"/>
  <c r="AF63" i="3"/>
  <c r="AD63" i="3"/>
  <c r="AC63" i="3"/>
  <c r="AB63" i="3"/>
  <c r="D63" i="3" s="1"/>
  <c r="Z63" i="3"/>
  <c r="Y63" i="3"/>
  <c r="X63" i="3"/>
  <c r="V63" i="3"/>
  <c r="U63" i="3"/>
  <c r="T63" i="3"/>
  <c r="Q63" i="3"/>
  <c r="R63" i="3" s="1"/>
  <c r="P63" i="3"/>
  <c r="N63" i="3"/>
  <c r="M63" i="3"/>
  <c r="L63" i="3"/>
  <c r="J63" i="3"/>
  <c r="I63" i="3"/>
  <c r="H63" i="3"/>
  <c r="F63" i="3"/>
  <c r="E63" i="3"/>
  <c r="AO62" i="3"/>
  <c r="AP62" i="3" s="1"/>
  <c r="AN62" i="3"/>
  <c r="AL62" i="3"/>
  <c r="AK62" i="3"/>
  <c r="AJ62" i="3"/>
  <c r="AH62" i="3"/>
  <c r="AG62" i="3"/>
  <c r="AF62" i="3"/>
  <c r="AD62" i="3"/>
  <c r="AC62" i="3"/>
  <c r="AB62" i="3"/>
  <c r="Y62" i="3"/>
  <c r="Z62" i="3" s="1"/>
  <c r="X62" i="3"/>
  <c r="V62" i="3"/>
  <c r="U62" i="3"/>
  <c r="T62" i="3"/>
  <c r="R62" i="3"/>
  <c r="Q62" i="3"/>
  <c r="P62" i="3"/>
  <c r="N62" i="3"/>
  <c r="M62" i="3"/>
  <c r="L62" i="3"/>
  <c r="I62" i="3"/>
  <c r="J62" i="3" s="1"/>
  <c r="H62" i="3"/>
  <c r="F62" i="3"/>
  <c r="E62" i="3"/>
  <c r="D62" i="3"/>
  <c r="AP61" i="3"/>
  <c r="AO61" i="3"/>
  <c r="AN61" i="3"/>
  <c r="AL61" i="3"/>
  <c r="AK61" i="3"/>
  <c r="AJ61" i="3"/>
  <c r="AG61" i="3"/>
  <c r="AH61" i="3" s="1"/>
  <c r="AF61" i="3"/>
  <c r="AD61" i="3"/>
  <c r="AC61" i="3"/>
  <c r="AB61" i="3"/>
  <c r="D61" i="3" s="1"/>
  <c r="Z61" i="3"/>
  <c r="Y61" i="3"/>
  <c r="X61" i="3"/>
  <c r="V61" i="3"/>
  <c r="U61" i="3"/>
  <c r="T61" i="3"/>
  <c r="Q61" i="3"/>
  <c r="R61" i="3" s="1"/>
  <c r="P61" i="3"/>
  <c r="N61" i="3"/>
  <c r="M61" i="3"/>
  <c r="L61" i="3"/>
  <c r="J61" i="3"/>
  <c r="I61" i="3"/>
  <c r="H61" i="3"/>
  <c r="F61" i="3"/>
  <c r="E61" i="3"/>
  <c r="AO60" i="3"/>
  <c r="AP60" i="3" s="1"/>
  <c r="AN60" i="3"/>
  <c r="AL60" i="3"/>
  <c r="AK60" i="3"/>
  <c r="AJ60" i="3"/>
  <c r="AH60" i="3"/>
  <c r="AG60" i="3"/>
  <c r="AF60" i="3"/>
  <c r="AD60" i="3"/>
  <c r="AC60" i="3"/>
  <c r="AB60" i="3"/>
  <c r="Y60" i="3"/>
  <c r="Z60" i="3" s="1"/>
  <c r="X60" i="3"/>
  <c r="V60" i="3"/>
  <c r="U60" i="3"/>
  <c r="T60" i="3"/>
  <c r="R60" i="3"/>
  <c r="Q60" i="3"/>
  <c r="P60" i="3"/>
  <c r="N60" i="3"/>
  <c r="M60" i="3"/>
  <c r="L60" i="3"/>
  <c r="I60" i="3"/>
  <c r="J60" i="3" s="1"/>
  <c r="H60" i="3"/>
  <c r="F60" i="3"/>
  <c r="E60" i="3"/>
  <c r="D60" i="3"/>
  <c r="AP59" i="3"/>
  <c r="AO59" i="3"/>
  <c r="AN59" i="3"/>
  <c r="AL59" i="3"/>
  <c r="AK59" i="3"/>
  <c r="AJ59" i="3"/>
  <c r="AG59" i="3"/>
  <c r="AH59" i="3" s="1"/>
  <c r="AF59" i="3"/>
  <c r="AD59" i="3"/>
  <c r="AC59" i="3"/>
  <c r="AB59" i="3"/>
  <c r="D59" i="3" s="1"/>
  <c r="Z59" i="3"/>
  <c r="Y59" i="3"/>
  <c r="X59" i="3"/>
  <c r="V59" i="3"/>
  <c r="U59" i="3"/>
  <c r="T59" i="3"/>
  <c r="Q59" i="3"/>
  <c r="R59" i="3" s="1"/>
  <c r="P59" i="3"/>
  <c r="N59" i="3"/>
  <c r="M59" i="3"/>
  <c r="L59" i="3"/>
  <c r="J59" i="3"/>
  <c r="I59" i="3"/>
  <c r="H59" i="3"/>
  <c r="F59" i="3"/>
  <c r="E59" i="3"/>
  <c r="AO58" i="3"/>
  <c r="AP58" i="3" s="1"/>
  <c r="AN58" i="3"/>
  <c r="AL58" i="3"/>
  <c r="AK58" i="3"/>
  <c r="AJ58" i="3"/>
  <c r="AH58" i="3"/>
  <c r="AG58" i="3"/>
  <c r="AF58" i="3"/>
  <c r="AD58" i="3"/>
  <c r="AC58" i="3"/>
  <c r="AB58" i="3"/>
  <c r="Y58" i="3"/>
  <c r="Z58" i="3" s="1"/>
  <c r="X58" i="3"/>
  <c r="V58" i="3"/>
  <c r="U58" i="3"/>
  <c r="T58" i="3"/>
  <c r="R58" i="3"/>
  <c r="Q58" i="3"/>
  <c r="P58" i="3"/>
  <c r="N58" i="3"/>
  <c r="M58" i="3"/>
  <c r="L58" i="3"/>
  <c r="I58" i="3"/>
  <c r="J58" i="3" s="1"/>
  <c r="H58" i="3"/>
  <c r="F58" i="3"/>
  <c r="E58" i="3"/>
  <c r="D58" i="3"/>
  <c r="AP57" i="3"/>
  <c r="AO57" i="3"/>
  <c r="AN57" i="3"/>
  <c r="AL57" i="3"/>
  <c r="AK57" i="3"/>
  <c r="AJ57" i="3"/>
  <c r="AG57" i="3"/>
  <c r="AH57" i="3" s="1"/>
  <c r="AF57" i="3"/>
  <c r="AD57" i="3"/>
  <c r="AC57" i="3"/>
  <c r="AB57" i="3"/>
  <c r="D57" i="3" s="1"/>
  <c r="Z57" i="3"/>
  <c r="Y57" i="3"/>
  <c r="X57" i="3"/>
  <c r="V57" i="3"/>
  <c r="U57" i="3"/>
  <c r="T57" i="3"/>
  <c r="Q57" i="3"/>
  <c r="R57" i="3" s="1"/>
  <c r="P57" i="3"/>
  <c r="N57" i="3"/>
  <c r="M57" i="3"/>
  <c r="L57" i="3"/>
  <c r="J57" i="3"/>
  <c r="I57" i="3"/>
  <c r="H57" i="3"/>
  <c r="F57" i="3"/>
  <c r="E57" i="3"/>
  <c r="AO56" i="3"/>
  <c r="AP56" i="3" s="1"/>
  <c r="AN56" i="3"/>
  <c r="AL56" i="3"/>
  <c r="AK56" i="3"/>
  <c r="AJ56" i="3"/>
  <c r="AH56" i="3"/>
  <c r="AG56" i="3"/>
  <c r="AF56" i="3"/>
  <c r="AD56" i="3"/>
  <c r="AC56" i="3"/>
  <c r="AB56" i="3"/>
  <c r="Y56" i="3"/>
  <c r="Z56" i="3" s="1"/>
  <c r="X56" i="3"/>
  <c r="V56" i="3"/>
  <c r="U56" i="3"/>
  <c r="T56" i="3"/>
  <c r="R56" i="3"/>
  <c r="Q56" i="3"/>
  <c r="P56" i="3"/>
  <c r="N56" i="3"/>
  <c r="M56" i="3"/>
  <c r="L56" i="3"/>
  <c r="I56" i="3"/>
  <c r="J56" i="3" s="1"/>
  <c r="H56" i="3"/>
  <c r="F56" i="3"/>
  <c r="E56" i="3"/>
  <c r="D56" i="3"/>
  <c r="AP55" i="3"/>
  <c r="AO55" i="3"/>
  <c r="AN55" i="3"/>
  <c r="AL55" i="3"/>
  <c r="AK55" i="3"/>
  <c r="AJ55" i="3"/>
  <c r="AG55" i="3"/>
  <c r="AH55" i="3" s="1"/>
  <c r="AF55" i="3"/>
  <c r="AD55" i="3"/>
  <c r="AC55" i="3"/>
  <c r="AB55" i="3"/>
  <c r="D55" i="3" s="1"/>
  <c r="Z55" i="3"/>
  <c r="Y55" i="3"/>
  <c r="X55" i="3"/>
  <c r="V55" i="3"/>
  <c r="U55" i="3"/>
  <c r="T55" i="3"/>
  <c r="Q55" i="3"/>
  <c r="R55" i="3" s="1"/>
  <c r="P55" i="3"/>
  <c r="N55" i="3"/>
  <c r="M55" i="3"/>
  <c r="L55" i="3"/>
  <c r="J55" i="3"/>
  <c r="I55" i="3"/>
  <c r="H55" i="3"/>
  <c r="F55" i="3"/>
  <c r="E55" i="3"/>
  <c r="AO54" i="3"/>
  <c r="AP54" i="3" s="1"/>
  <c r="AN54" i="3"/>
  <c r="AL54" i="3"/>
  <c r="AK54" i="3"/>
  <c r="AJ54" i="3"/>
  <c r="AH54" i="3"/>
  <c r="AG54" i="3"/>
  <c r="AF54" i="3"/>
  <c r="AD54" i="3"/>
  <c r="AC54" i="3"/>
  <c r="AB54" i="3"/>
  <c r="Y54" i="3"/>
  <c r="Z54" i="3" s="1"/>
  <c r="X54" i="3"/>
  <c r="V54" i="3"/>
  <c r="U54" i="3"/>
  <c r="T54" i="3"/>
  <c r="R54" i="3"/>
  <c r="Q54" i="3"/>
  <c r="P54" i="3"/>
  <c r="N54" i="3"/>
  <c r="M54" i="3"/>
  <c r="L54" i="3"/>
  <c r="I54" i="3"/>
  <c r="J54" i="3" s="1"/>
  <c r="H54" i="3"/>
  <c r="F54" i="3"/>
  <c r="E54" i="3"/>
  <c r="D54" i="3"/>
  <c r="AP53" i="3"/>
  <c r="AO53" i="3"/>
  <c r="AN53" i="3"/>
  <c r="AL53" i="3"/>
  <c r="AK53" i="3"/>
  <c r="AJ53" i="3"/>
  <c r="AG53" i="3"/>
  <c r="AH53" i="3" s="1"/>
  <c r="AF53" i="3"/>
  <c r="AD53" i="3"/>
  <c r="AC53" i="3"/>
  <c r="AB53" i="3"/>
  <c r="D53" i="3" s="1"/>
  <c r="Z53" i="3"/>
  <c r="Y53" i="3"/>
  <c r="X53" i="3"/>
  <c r="V53" i="3"/>
  <c r="U53" i="3"/>
  <c r="T53" i="3"/>
  <c r="Q53" i="3"/>
  <c r="R53" i="3" s="1"/>
  <c r="P53" i="3"/>
  <c r="N53" i="3"/>
  <c r="M53" i="3"/>
  <c r="L53" i="3"/>
  <c r="J53" i="3"/>
  <c r="I53" i="3"/>
  <c r="H53" i="3"/>
  <c r="F53" i="3"/>
  <c r="E53" i="3"/>
  <c r="AO52" i="3"/>
  <c r="AP52" i="3" s="1"/>
  <c r="AN52" i="3"/>
  <c r="AL52" i="3"/>
  <c r="AK52" i="3"/>
  <c r="AJ52" i="3"/>
  <c r="AH52" i="3"/>
  <c r="AG52" i="3"/>
  <c r="AF52" i="3"/>
  <c r="AD52" i="3"/>
  <c r="AC52" i="3"/>
  <c r="AB52" i="3"/>
  <c r="Y52" i="3"/>
  <c r="Z52" i="3" s="1"/>
  <c r="X52" i="3"/>
  <c r="V52" i="3"/>
  <c r="U52" i="3"/>
  <c r="T52" i="3"/>
  <c r="R52" i="3"/>
  <c r="Q52" i="3"/>
  <c r="P52" i="3"/>
  <c r="N52" i="3"/>
  <c r="M52" i="3"/>
  <c r="L52" i="3"/>
  <c r="I52" i="3"/>
  <c r="J52" i="3" s="1"/>
  <c r="H52" i="3"/>
  <c r="F52" i="3"/>
  <c r="E52" i="3"/>
  <c r="D52" i="3"/>
  <c r="AP51" i="3"/>
  <c r="AO51" i="3"/>
  <c r="AN51" i="3"/>
  <c r="AL51" i="3"/>
  <c r="AK51" i="3"/>
  <c r="AJ51" i="3"/>
  <c r="AG51" i="3"/>
  <c r="AH51" i="3" s="1"/>
  <c r="AF51" i="3"/>
  <c r="AD51" i="3"/>
  <c r="AC51" i="3"/>
  <c r="AB51" i="3"/>
  <c r="D51" i="3" s="1"/>
  <c r="Z51" i="3"/>
  <c r="Y51" i="3"/>
  <c r="X51" i="3"/>
  <c r="V51" i="3"/>
  <c r="U51" i="3"/>
  <c r="T51" i="3"/>
  <c r="Q51" i="3"/>
  <c r="R51" i="3" s="1"/>
  <c r="P51" i="3"/>
  <c r="N51" i="3"/>
  <c r="M51" i="3"/>
  <c r="L51" i="3"/>
  <c r="J51" i="3"/>
  <c r="I51" i="3"/>
  <c r="H51" i="3"/>
  <c r="F51" i="3"/>
  <c r="E51" i="3"/>
  <c r="AO50" i="3"/>
  <c r="AP50" i="3" s="1"/>
  <c r="AN50" i="3"/>
  <c r="AL50" i="3"/>
  <c r="AK50" i="3"/>
  <c r="AJ50" i="3"/>
  <c r="AH50" i="3"/>
  <c r="AG50" i="3"/>
  <c r="AF50" i="3"/>
  <c r="AD50" i="3"/>
  <c r="AC50" i="3"/>
  <c r="AB50" i="3"/>
  <c r="Y50" i="3"/>
  <c r="Z50" i="3" s="1"/>
  <c r="X50" i="3"/>
  <c r="V50" i="3"/>
  <c r="U50" i="3"/>
  <c r="T50" i="3"/>
  <c r="R50" i="3"/>
  <c r="Q50" i="3"/>
  <c r="P50" i="3"/>
  <c r="N50" i="3"/>
  <c r="M50" i="3"/>
  <c r="L50" i="3"/>
  <c r="I50" i="3"/>
  <c r="J50" i="3" s="1"/>
  <c r="H50" i="3"/>
  <c r="F50" i="3"/>
  <c r="E50" i="3"/>
  <c r="D50" i="3"/>
  <c r="AP49" i="3"/>
  <c r="AO49" i="3"/>
  <c r="AN49" i="3"/>
  <c r="AL49" i="3"/>
  <c r="AK49" i="3"/>
  <c r="AJ49" i="3"/>
  <c r="AG49" i="3"/>
  <c r="AH49" i="3" s="1"/>
  <c r="AF49" i="3"/>
  <c r="AD49" i="3"/>
  <c r="AC49" i="3"/>
  <c r="AB49" i="3"/>
  <c r="D49" i="3" s="1"/>
  <c r="Z49" i="3"/>
  <c r="Y49" i="3"/>
  <c r="X49" i="3"/>
  <c r="V49" i="3"/>
  <c r="U49" i="3"/>
  <c r="T49" i="3"/>
  <c r="Q49" i="3"/>
  <c r="R49" i="3" s="1"/>
  <c r="P49" i="3"/>
  <c r="N49" i="3"/>
  <c r="M49" i="3"/>
  <c r="L49" i="3"/>
  <c r="J49" i="3"/>
  <c r="I49" i="3"/>
  <c r="H49" i="3"/>
  <c r="F49" i="3"/>
  <c r="E49" i="3"/>
  <c r="AO48" i="3"/>
  <c r="AP48" i="3" s="1"/>
  <c r="AN48" i="3"/>
  <c r="AL48" i="3"/>
  <c r="AK48" i="3"/>
  <c r="AJ48" i="3"/>
  <c r="AH48" i="3"/>
  <c r="AG48" i="3"/>
  <c r="AF48" i="3"/>
  <c r="AC48" i="3"/>
  <c r="AD48" i="3" s="1"/>
  <c r="AB48" i="3"/>
  <c r="Y48" i="3"/>
  <c r="Z48" i="3" s="1"/>
  <c r="X48" i="3"/>
  <c r="V48" i="3"/>
  <c r="U48" i="3"/>
  <c r="T48" i="3"/>
  <c r="R48" i="3"/>
  <c r="Q48" i="3"/>
  <c r="P48" i="3"/>
  <c r="M48" i="3"/>
  <c r="N48" i="3" s="1"/>
  <c r="L48" i="3"/>
  <c r="I48" i="3"/>
  <c r="J48" i="3" s="1"/>
  <c r="H48" i="3"/>
  <c r="F48" i="3"/>
  <c r="E48" i="3"/>
  <c r="D48" i="3"/>
  <c r="AP47" i="3"/>
  <c r="AO47" i="3"/>
  <c r="AN47" i="3"/>
  <c r="AL47" i="3"/>
  <c r="AK47" i="3"/>
  <c r="AJ47" i="3"/>
  <c r="AG47" i="3"/>
  <c r="AH47" i="3" s="1"/>
  <c r="AF47" i="3"/>
  <c r="AD47" i="3"/>
  <c r="AC47" i="3"/>
  <c r="AB47" i="3"/>
  <c r="D47" i="3" s="1"/>
  <c r="Z47" i="3"/>
  <c r="Y47" i="3"/>
  <c r="X47" i="3"/>
  <c r="U47" i="3"/>
  <c r="V47" i="3" s="1"/>
  <c r="T47" i="3"/>
  <c r="Q47" i="3"/>
  <c r="R47" i="3" s="1"/>
  <c r="P47" i="3"/>
  <c r="N47" i="3"/>
  <c r="M47" i="3"/>
  <c r="L47" i="3"/>
  <c r="J47" i="3"/>
  <c r="I47" i="3"/>
  <c r="H47" i="3"/>
  <c r="E47" i="3"/>
  <c r="F47" i="3" s="1"/>
  <c r="AO46" i="3"/>
  <c r="AP46" i="3" s="1"/>
  <c r="AN46" i="3"/>
  <c r="AL46" i="3"/>
  <c r="AK46" i="3"/>
  <c r="AJ46" i="3"/>
  <c r="AH46" i="3"/>
  <c r="AG46" i="3"/>
  <c r="AF46" i="3"/>
  <c r="AD46" i="3"/>
  <c r="AC46" i="3"/>
  <c r="AB46" i="3"/>
  <c r="Y46" i="3"/>
  <c r="Z46" i="3" s="1"/>
  <c r="X46" i="3"/>
  <c r="V46" i="3"/>
  <c r="U46" i="3"/>
  <c r="T46" i="3"/>
  <c r="R46" i="3"/>
  <c r="Q46" i="3"/>
  <c r="P46" i="3"/>
  <c r="N46" i="3"/>
  <c r="M46" i="3"/>
  <c r="L46" i="3"/>
  <c r="I46" i="3"/>
  <c r="J46" i="3" s="1"/>
  <c r="H46" i="3"/>
  <c r="F46" i="3"/>
  <c r="E46" i="3"/>
  <c r="D46" i="3"/>
  <c r="AP45" i="3"/>
  <c r="AO45" i="3"/>
  <c r="AN45" i="3"/>
  <c r="AK45" i="3"/>
  <c r="AL45" i="3" s="1"/>
  <c r="AJ45" i="3"/>
  <c r="AG45" i="3"/>
  <c r="AH45" i="3" s="1"/>
  <c r="AF45" i="3"/>
  <c r="AD45" i="3"/>
  <c r="AC45" i="3"/>
  <c r="AB45" i="3"/>
  <c r="D45" i="3" s="1"/>
  <c r="Z45" i="3"/>
  <c r="Y45" i="3"/>
  <c r="X45" i="3"/>
  <c r="U45" i="3"/>
  <c r="V45" i="3" s="1"/>
  <c r="T45" i="3"/>
  <c r="Q45" i="3"/>
  <c r="R45" i="3" s="1"/>
  <c r="P45" i="3"/>
  <c r="N45" i="3"/>
  <c r="M45" i="3"/>
  <c r="L45" i="3"/>
  <c r="J45" i="3"/>
  <c r="I45" i="3"/>
  <c r="H45" i="3"/>
  <c r="F45" i="3"/>
  <c r="E45" i="3"/>
  <c r="AO44" i="3"/>
  <c r="AP44" i="3" s="1"/>
  <c r="AN44" i="3"/>
  <c r="AL44" i="3"/>
  <c r="AK44" i="3"/>
  <c r="AJ44" i="3"/>
  <c r="AH44" i="3"/>
  <c r="AG44" i="3"/>
  <c r="AF44" i="3"/>
  <c r="AC44" i="3"/>
  <c r="AD44" i="3" s="1"/>
  <c r="AB44" i="3"/>
  <c r="Y44" i="3"/>
  <c r="Z44" i="3" s="1"/>
  <c r="X44" i="3"/>
  <c r="V44" i="3"/>
  <c r="U44" i="3"/>
  <c r="T44" i="3"/>
  <c r="R44" i="3"/>
  <c r="Q44" i="3"/>
  <c r="P44" i="3"/>
  <c r="M44" i="3"/>
  <c r="N44" i="3" s="1"/>
  <c r="L44" i="3"/>
  <c r="I44" i="3"/>
  <c r="J44" i="3" s="1"/>
  <c r="H44" i="3"/>
  <c r="F44" i="3"/>
  <c r="E44" i="3"/>
  <c r="D44" i="3"/>
  <c r="AP43" i="3"/>
  <c r="AO43" i="3"/>
  <c r="AN43" i="3"/>
  <c r="AL43" i="3"/>
  <c r="AK43" i="3"/>
  <c r="AJ43" i="3"/>
  <c r="AG43" i="3"/>
  <c r="AH43" i="3" s="1"/>
  <c r="AF43" i="3"/>
  <c r="AD43" i="3"/>
  <c r="AC43" i="3"/>
  <c r="AB43" i="3"/>
  <c r="Z43" i="3"/>
  <c r="Y43" i="3"/>
  <c r="X43" i="3"/>
  <c r="V43" i="3"/>
  <c r="U43" i="3"/>
  <c r="T43" i="3"/>
  <c r="Q43" i="3"/>
  <c r="R43" i="3" s="1"/>
  <c r="P43" i="3"/>
  <c r="N43" i="3"/>
  <c r="M43" i="3"/>
  <c r="L43" i="3"/>
  <c r="J43" i="3"/>
  <c r="I43" i="3"/>
  <c r="H43" i="3"/>
  <c r="E43" i="3"/>
  <c r="F43" i="3" s="1"/>
  <c r="D43" i="3"/>
  <c r="AO42" i="3"/>
  <c r="AP42" i="3" s="1"/>
  <c r="AN42" i="3"/>
  <c r="AL42" i="3"/>
  <c r="AK42" i="3"/>
  <c r="AJ42" i="3"/>
  <c r="AG42" i="3"/>
  <c r="AH42" i="3" s="1"/>
  <c r="AF42" i="3"/>
  <c r="AC42" i="3"/>
  <c r="AD42" i="3" s="1"/>
  <c r="AB42" i="3"/>
  <c r="Y42" i="3"/>
  <c r="Z42" i="3" s="1"/>
  <c r="X42" i="3"/>
  <c r="V42" i="3"/>
  <c r="U42" i="3"/>
  <c r="T42" i="3"/>
  <c r="Q42" i="3"/>
  <c r="R42" i="3" s="1"/>
  <c r="P42" i="3"/>
  <c r="N42" i="3"/>
  <c r="M42" i="3"/>
  <c r="L42" i="3"/>
  <c r="I42" i="3"/>
  <c r="J42" i="3" s="1"/>
  <c r="H42" i="3"/>
  <c r="F42" i="3"/>
  <c r="E42" i="3"/>
  <c r="D42" i="3"/>
  <c r="AP41" i="3"/>
  <c r="AO41" i="3"/>
  <c r="AN41" i="3"/>
  <c r="AL41" i="3"/>
  <c r="AK41" i="3"/>
  <c r="AJ41" i="3"/>
  <c r="AG41" i="3"/>
  <c r="AH41" i="3" s="1"/>
  <c r="AF41" i="3"/>
  <c r="AD41" i="3"/>
  <c r="AC41" i="3"/>
  <c r="AB41" i="3"/>
  <c r="Z41" i="3"/>
  <c r="Y41" i="3"/>
  <c r="X41" i="3"/>
  <c r="U41" i="3"/>
  <c r="V41" i="3" s="1"/>
  <c r="T41" i="3"/>
  <c r="Q41" i="3"/>
  <c r="R41" i="3" s="1"/>
  <c r="P41" i="3"/>
  <c r="N41" i="3"/>
  <c r="M41" i="3"/>
  <c r="L41" i="3"/>
  <c r="I41" i="3"/>
  <c r="J41" i="3" s="1"/>
  <c r="H41" i="3"/>
  <c r="E41" i="3"/>
  <c r="F41" i="3" s="1"/>
  <c r="D41" i="3"/>
  <c r="AO40" i="3"/>
  <c r="AP40" i="3" s="1"/>
  <c r="AN40" i="3"/>
  <c r="AL40" i="3"/>
  <c r="AK40" i="3"/>
  <c r="AJ40" i="3"/>
  <c r="AG40" i="3"/>
  <c r="AH40" i="3" s="1"/>
  <c r="AF40" i="3"/>
  <c r="AD40" i="3"/>
  <c r="AC40" i="3"/>
  <c r="AB40" i="3"/>
  <c r="Y40" i="3"/>
  <c r="Z40" i="3" s="1"/>
  <c r="X40" i="3"/>
  <c r="V40" i="3"/>
  <c r="U40" i="3"/>
  <c r="T40" i="3"/>
  <c r="R40" i="3"/>
  <c r="Q40" i="3"/>
  <c r="P40" i="3"/>
  <c r="N40" i="3"/>
  <c r="M40" i="3"/>
  <c r="L40" i="3"/>
  <c r="I40" i="3"/>
  <c r="J40" i="3" s="1"/>
  <c r="H40" i="3"/>
  <c r="F40" i="3"/>
  <c r="E40" i="3"/>
  <c r="D40" i="3"/>
  <c r="AP39" i="3"/>
  <c r="AO39" i="3"/>
  <c r="AN39" i="3"/>
  <c r="AK39" i="3"/>
  <c r="AL39" i="3" s="1"/>
  <c r="AJ39" i="3"/>
  <c r="AG39" i="3"/>
  <c r="AH39" i="3" s="1"/>
  <c r="AF39" i="3"/>
  <c r="AD39" i="3"/>
  <c r="AC39" i="3"/>
  <c r="AB39" i="3"/>
  <c r="Y39" i="3"/>
  <c r="Z39" i="3" s="1"/>
  <c r="X39" i="3"/>
  <c r="U39" i="3"/>
  <c r="V39" i="3" s="1"/>
  <c r="T39" i="3"/>
  <c r="Q39" i="3"/>
  <c r="R39" i="3" s="1"/>
  <c r="P39" i="3"/>
  <c r="N39" i="3"/>
  <c r="M39" i="3"/>
  <c r="L39" i="3"/>
  <c r="I39" i="3"/>
  <c r="J39" i="3" s="1"/>
  <c r="H39" i="3"/>
  <c r="F39" i="3"/>
  <c r="E39" i="3"/>
  <c r="D39" i="3"/>
  <c r="AO38" i="3"/>
  <c r="AP38" i="3" s="1"/>
  <c r="AN38" i="3"/>
  <c r="AL38" i="3"/>
  <c r="AK38" i="3"/>
  <c r="AJ38" i="3"/>
  <c r="AH38" i="3"/>
  <c r="AG38" i="3"/>
  <c r="AF38" i="3"/>
  <c r="AD38" i="3"/>
  <c r="AC38" i="3"/>
  <c r="AB38" i="3"/>
  <c r="Y38" i="3"/>
  <c r="Z38" i="3" s="1"/>
  <c r="X38" i="3"/>
  <c r="V38" i="3"/>
  <c r="U38" i="3"/>
  <c r="T38" i="3"/>
  <c r="R38" i="3"/>
  <c r="Q38" i="3"/>
  <c r="P38" i="3"/>
  <c r="M38" i="3"/>
  <c r="N38" i="3" s="1"/>
  <c r="L38" i="3"/>
  <c r="I38" i="3"/>
  <c r="J38" i="3" s="1"/>
  <c r="H38" i="3"/>
  <c r="F38" i="3"/>
  <c r="E38" i="3"/>
  <c r="D38" i="3"/>
  <c r="AO37" i="3"/>
  <c r="AP37" i="3" s="1"/>
  <c r="AN37" i="3"/>
  <c r="AK37" i="3"/>
  <c r="AL37" i="3" s="1"/>
  <c r="AJ37" i="3"/>
  <c r="AG37" i="3"/>
  <c r="AH37" i="3" s="1"/>
  <c r="AF37" i="3"/>
  <c r="AD37" i="3"/>
  <c r="AC37" i="3"/>
  <c r="AB37" i="3"/>
  <c r="D37" i="3" s="1"/>
  <c r="Y37" i="3"/>
  <c r="Z37" i="3" s="1"/>
  <c r="X37" i="3"/>
  <c r="V37" i="3"/>
  <c r="U37" i="3"/>
  <c r="T37" i="3"/>
  <c r="Q37" i="3"/>
  <c r="R37" i="3" s="1"/>
  <c r="P37" i="3"/>
  <c r="N37" i="3"/>
  <c r="M37" i="3"/>
  <c r="L37" i="3"/>
  <c r="J37" i="3"/>
  <c r="I37" i="3"/>
  <c r="H37" i="3"/>
  <c r="F37" i="3"/>
  <c r="E37" i="3"/>
  <c r="AO36" i="3"/>
  <c r="AP36" i="3" s="1"/>
  <c r="AN36" i="3"/>
  <c r="AL36" i="3"/>
  <c r="AK36" i="3"/>
  <c r="AJ36" i="3"/>
  <c r="AG36" i="3"/>
  <c r="AH36" i="3" s="1"/>
  <c r="AF36" i="3"/>
  <c r="AC36" i="3"/>
  <c r="AD36" i="3" s="1"/>
  <c r="AB36" i="3"/>
  <c r="D36" i="3" s="1"/>
  <c r="Y36" i="3"/>
  <c r="Z36" i="3" s="1"/>
  <c r="X36" i="3"/>
  <c r="V36" i="3"/>
  <c r="U36" i="3"/>
  <c r="T36" i="3"/>
  <c r="Q36" i="3"/>
  <c r="R36" i="3" s="1"/>
  <c r="P36" i="3"/>
  <c r="M36" i="3"/>
  <c r="N36" i="3" s="1"/>
  <c r="L36" i="3"/>
  <c r="I36" i="3"/>
  <c r="J36" i="3" s="1"/>
  <c r="H36" i="3"/>
  <c r="F36" i="3"/>
  <c r="E36" i="3"/>
  <c r="AO35" i="3"/>
  <c r="AP35" i="3" s="1"/>
  <c r="AN35" i="3"/>
  <c r="AL35" i="3"/>
  <c r="AK35" i="3"/>
  <c r="AJ35" i="3"/>
  <c r="AG35" i="3"/>
  <c r="AH35" i="3" s="1"/>
  <c r="AF35" i="3"/>
  <c r="AD35" i="3"/>
  <c r="AC35" i="3"/>
  <c r="AB35" i="3"/>
  <c r="Z35" i="3"/>
  <c r="Y35" i="3"/>
  <c r="X35" i="3"/>
  <c r="U35" i="3"/>
  <c r="V35" i="3" s="1"/>
  <c r="T35" i="3"/>
  <c r="Q35" i="3"/>
  <c r="R35" i="3" s="1"/>
  <c r="P35" i="3"/>
  <c r="N35" i="3"/>
  <c r="M35" i="3"/>
  <c r="L35" i="3"/>
  <c r="I35" i="3"/>
  <c r="J35" i="3" s="1"/>
  <c r="H35" i="3"/>
  <c r="E35" i="3"/>
  <c r="F35" i="3" s="1"/>
  <c r="D35" i="3"/>
  <c r="AO34" i="3"/>
  <c r="AP34" i="3" s="1"/>
  <c r="AN34" i="3"/>
  <c r="AL34" i="3"/>
  <c r="AK34" i="3"/>
  <c r="AJ34" i="3"/>
  <c r="AG34" i="3"/>
  <c r="AH34" i="3" s="1"/>
  <c r="AF34" i="3"/>
  <c r="AC34" i="3"/>
  <c r="AD34" i="3" s="1"/>
  <c r="AB34" i="3"/>
  <c r="D34" i="3" s="1"/>
  <c r="Y34" i="3"/>
  <c r="Z34" i="3" s="1"/>
  <c r="X34" i="3"/>
  <c r="V34" i="3"/>
  <c r="U34" i="3"/>
  <c r="T34" i="3"/>
  <c r="Q34" i="3"/>
  <c r="R34" i="3" s="1"/>
  <c r="P34" i="3"/>
  <c r="N34" i="3"/>
  <c r="M34" i="3"/>
  <c r="L34" i="3"/>
  <c r="I34" i="3"/>
  <c r="J34" i="3" s="1"/>
  <c r="H34" i="3"/>
  <c r="F34" i="3"/>
  <c r="E34" i="3"/>
  <c r="AP33" i="3"/>
  <c r="AO33" i="3"/>
  <c r="AN33" i="3"/>
  <c r="AK33" i="3"/>
  <c r="AL33" i="3" s="1"/>
  <c r="AJ33" i="3"/>
  <c r="AG33" i="3"/>
  <c r="AH33" i="3" s="1"/>
  <c r="AF33" i="3"/>
  <c r="AD33" i="3"/>
  <c r="AC33" i="3"/>
  <c r="AB33" i="3"/>
  <c r="Y33" i="3"/>
  <c r="Z33" i="3" s="1"/>
  <c r="X33" i="3"/>
  <c r="U33" i="3"/>
  <c r="V33" i="3" s="1"/>
  <c r="T33" i="3"/>
  <c r="Q33" i="3"/>
  <c r="R33" i="3" s="1"/>
  <c r="P33" i="3"/>
  <c r="N33" i="3"/>
  <c r="M33" i="3"/>
  <c r="L33" i="3"/>
  <c r="I33" i="3"/>
  <c r="J33" i="3" s="1"/>
  <c r="H33" i="3"/>
  <c r="E33" i="3"/>
  <c r="F33" i="3" s="1"/>
  <c r="D33" i="3"/>
  <c r="AO32" i="3"/>
  <c r="AP32" i="3" s="1"/>
  <c r="AN32" i="3"/>
  <c r="AL32" i="3"/>
  <c r="AK32" i="3"/>
  <c r="AJ32" i="3"/>
  <c r="AG32" i="3"/>
  <c r="AH32" i="3" s="1"/>
  <c r="AF32" i="3"/>
  <c r="AD32" i="3"/>
  <c r="AC32" i="3"/>
  <c r="AB32" i="3"/>
  <c r="Y32" i="3"/>
  <c r="Z32" i="3" s="1"/>
  <c r="X32" i="3"/>
  <c r="V32" i="3"/>
  <c r="U32" i="3"/>
  <c r="T32" i="3"/>
  <c r="R32" i="3"/>
  <c r="Q32" i="3"/>
  <c r="P32" i="3"/>
  <c r="M32" i="3"/>
  <c r="N32" i="3" s="1"/>
  <c r="L32" i="3"/>
  <c r="I32" i="3"/>
  <c r="J32" i="3" s="1"/>
  <c r="H32" i="3"/>
  <c r="F32" i="3"/>
  <c r="E32" i="3"/>
  <c r="D32" i="3"/>
  <c r="AO31" i="3"/>
  <c r="AP31" i="3" s="1"/>
  <c r="AN31" i="3"/>
  <c r="AK31" i="3"/>
  <c r="AL31" i="3" s="1"/>
  <c r="AJ31" i="3"/>
  <c r="AG31" i="3"/>
  <c r="AH31" i="3" s="1"/>
  <c r="AF31" i="3"/>
  <c r="AD31" i="3"/>
  <c r="AC31" i="3"/>
  <c r="AB31" i="3"/>
  <c r="Y31" i="3"/>
  <c r="Z31" i="3" s="1"/>
  <c r="X31" i="3"/>
  <c r="U31" i="3"/>
  <c r="V31" i="3" s="1"/>
  <c r="T31" i="3"/>
  <c r="Q31" i="3"/>
  <c r="R31" i="3" s="1"/>
  <c r="P31" i="3"/>
  <c r="N31" i="3"/>
  <c r="M31" i="3"/>
  <c r="L31" i="3"/>
  <c r="I31" i="3"/>
  <c r="J31" i="3" s="1"/>
  <c r="H31" i="3"/>
  <c r="F31" i="3"/>
  <c r="E31" i="3"/>
  <c r="D31" i="3"/>
  <c r="AO30" i="3"/>
  <c r="AP30" i="3" s="1"/>
  <c r="AN30" i="3"/>
  <c r="AL30" i="3"/>
  <c r="AK30" i="3"/>
  <c r="AJ30" i="3"/>
  <c r="AH30" i="3"/>
  <c r="AG30" i="3"/>
  <c r="AF30" i="3"/>
  <c r="AC30" i="3"/>
  <c r="AD30" i="3" s="1"/>
  <c r="AB30" i="3"/>
  <c r="Y30" i="3"/>
  <c r="Z30" i="3" s="1"/>
  <c r="X30" i="3"/>
  <c r="V30" i="3"/>
  <c r="U30" i="3"/>
  <c r="T30" i="3"/>
  <c r="Q30" i="3"/>
  <c r="R30" i="3" s="1"/>
  <c r="P30" i="3"/>
  <c r="M30" i="3"/>
  <c r="N30" i="3" s="1"/>
  <c r="L30" i="3"/>
  <c r="I30" i="3"/>
  <c r="J30" i="3" s="1"/>
  <c r="H30" i="3"/>
  <c r="E30" i="3"/>
  <c r="F30" i="3" s="1"/>
  <c r="D30" i="3"/>
  <c r="AO29" i="3"/>
  <c r="AP29" i="3" s="1"/>
  <c r="AN29" i="3"/>
  <c r="AK29" i="3"/>
  <c r="AL29" i="3" s="1"/>
  <c r="AJ29" i="3"/>
  <c r="AH29" i="3"/>
  <c r="AG29" i="3"/>
  <c r="AF29" i="3"/>
  <c r="AD29" i="3"/>
  <c r="AC29" i="3"/>
  <c r="AB29" i="3"/>
  <c r="Y29" i="3"/>
  <c r="Z29" i="3" s="1"/>
  <c r="X29" i="3"/>
  <c r="U29" i="3"/>
  <c r="V29" i="3" s="1"/>
  <c r="T29" i="3"/>
  <c r="R29" i="3"/>
  <c r="Q29" i="3"/>
  <c r="P29" i="3"/>
  <c r="M29" i="3"/>
  <c r="N29" i="3" s="1"/>
  <c r="L29" i="3"/>
  <c r="I29" i="3"/>
  <c r="J29" i="3" s="1"/>
  <c r="H29" i="3"/>
  <c r="E29" i="3"/>
  <c r="F29" i="3" s="1"/>
  <c r="D29" i="3"/>
  <c r="AP28" i="3"/>
  <c r="AO28" i="3"/>
  <c r="AN28" i="3"/>
  <c r="AL28" i="3"/>
  <c r="AK28" i="3"/>
  <c r="AJ28" i="3"/>
  <c r="AG28" i="3"/>
  <c r="AH28" i="3" s="1"/>
  <c r="AF28" i="3"/>
  <c r="AC28" i="3"/>
  <c r="AD28" i="3" s="1"/>
  <c r="AB28" i="3"/>
  <c r="D28" i="3" s="1"/>
  <c r="Z28" i="3"/>
  <c r="Y28" i="3"/>
  <c r="X28" i="3"/>
  <c r="U28" i="3"/>
  <c r="V28" i="3" s="1"/>
  <c r="T28" i="3"/>
  <c r="Q28" i="3"/>
  <c r="R28" i="3" s="1"/>
  <c r="P28" i="3"/>
  <c r="M28" i="3"/>
  <c r="N28" i="3" s="1"/>
  <c r="L28" i="3"/>
  <c r="J28" i="3"/>
  <c r="I28" i="3"/>
  <c r="H28" i="3"/>
  <c r="E28" i="3"/>
  <c r="F28" i="3" s="1"/>
  <c r="AP27" i="3"/>
  <c r="AO27" i="3"/>
  <c r="AN27" i="3"/>
  <c r="AK27" i="3"/>
  <c r="AL27" i="3" s="1"/>
  <c r="AJ27" i="3"/>
  <c r="AH27" i="3"/>
  <c r="AG27" i="3"/>
  <c r="AF27" i="3"/>
  <c r="AD27" i="3"/>
  <c r="AC27" i="3"/>
  <c r="AB27" i="3"/>
  <c r="Y27" i="3"/>
  <c r="Z27" i="3" s="1"/>
  <c r="X27" i="3"/>
  <c r="U27" i="3"/>
  <c r="V27" i="3" s="1"/>
  <c r="T27" i="3"/>
  <c r="R27" i="3"/>
  <c r="Q27" i="3"/>
  <c r="P27" i="3"/>
  <c r="M27" i="3"/>
  <c r="N27" i="3" s="1"/>
  <c r="L27" i="3"/>
  <c r="I27" i="3"/>
  <c r="J27" i="3" s="1"/>
  <c r="H27" i="3"/>
  <c r="E27" i="3"/>
  <c r="F27" i="3" s="1"/>
  <c r="D27" i="3"/>
  <c r="AP26" i="3"/>
  <c r="AO26" i="3"/>
  <c r="AN26" i="3"/>
  <c r="AK26" i="3"/>
  <c r="AL26" i="3" s="1"/>
  <c r="AJ26" i="3"/>
  <c r="AG26" i="3"/>
  <c r="AH26" i="3" s="1"/>
  <c r="AF26" i="3"/>
  <c r="AC26" i="3"/>
  <c r="AD26" i="3" s="1"/>
  <c r="AB26" i="3"/>
  <c r="D26" i="3" s="1"/>
  <c r="Z26" i="3"/>
  <c r="Y26" i="3"/>
  <c r="X26" i="3"/>
  <c r="U26" i="3"/>
  <c r="V26" i="3" s="1"/>
  <c r="T26" i="3"/>
  <c r="R26" i="3"/>
  <c r="Q26" i="3"/>
  <c r="P26" i="3"/>
  <c r="M26" i="3"/>
  <c r="N26" i="3" s="1"/>
  <c r="L26" i="3"/>
  <c r="J26" i="3"/>
  <c r="I26" i="3"/>
  <c r="H26" i="3"/>
  <c r="F26" i="3"/>
  <c r="E26" i="3"/>
  <c r="AO25" i="3"/>
  <c r="AP25" i="3" s="1"/>
  <c r="AN25" i="3"/>
  <c r="AK25" i="3"/>
  <c r="AL25" i="3" s="1"/>
  <c r="AJ25" i="3"/>
  <c r="AH25" i="3"/>
  <c r="AG25" i="3"/>
  <c r="AF25" i="3"/>
  <c r="AC25" i="3"/>
  <c r="AD25" i="3" s="1"/>
  <c r="AB25" i="3"/>
  <c r="Y25" i="3"/>
  <c r="Z25" i="3" s="1"/>
  <c r="X25" i="3"/>
  <c r="U25" i="3"/>
  <c r="V25" i="3" s="1"/>
  <c r="T25" i="3"/>
  <c r="R25" i="3"/>
  <c r="Q25" i="3"/>
  <c r="P25" i="3"/>
  <c r="M25" i="3"/>
  <c r="N25" i="3" s="1"/>
  <c r="L25" i="3"/>
  <c r="J25" i="3"/>
  <c r="I25" i="3"/>
  <c r="H25" i="3"/>
  <c r="E25" i="3"/>
  <c r="F25" i="3" s="1"/>
  <c r="D25" i="3"/>
  <c r="AP24" i="3"/>
  <c r="AO24" i="3"/>
  <c r="AN24" i="3"/>
  <c r="AL24" i="3"/>
  <c r="AK24" i="3"/>
  <c r="AJ24" i="3"/>
  <c r="AG24" i="3"/>
  <c r="AH24" i="3" s="1"/>
  <c r="AF24" i="3"/>
  <c r="AC24" i="3"/>
  <c r="AD24" i="3" s="1"/>
  <c r="AB24" i="3"/>
  <c r="D24" i="3" s="1"/>
  <c r="Z24" i="3"/>
  <c r="Y24" i="3"/>
  <c r="X24" i="3"/>
  <c r="U24" i="3"/>
  <c r="V24" i="3" s="1"/>
  <c r="T24" i="3"/>
  <c r="Q24" i="3"/>
  <c r="R24" i="3" s="1"/>
  <c r="P24" i="3"/>
  <c r="M24" i="3"/>
  <c r="N24" i="3" s="1"/>
  <c r="L24" i="3"/>
  <c r="J24" i="3"/>
  <c r="I24" i="3"/>
  <c r="H24" i="3"/>
  <c r="E24" i="3"/>
  <c r="F24" i="3" s="1"/>
  <c r="AP23" i="3"/>
  <c r="AO23" i="3"/>
  <c r="AN23" i="3"/>
  <c r="AK23" i="3"/>
  <c r="AL23" i="3" s="1"/>
  <c r="AJ23" i="3"/>
  <c r="AH23" i="3"/>
  <c r="AG23" i="3"/>
  <c r="AF23" i="3"/>
  <c r="AD23" i="3"/>
  <c r="AC23" i="3"/>
  <c r="AB23" i="3"/>
  <c r="Y23" i="3"/>
  <c r="Z23" i="3" s="1"/>
  <c r="X23" i="3"/>
  <c r="U23" i="3"/>
  <c r="V23" i="3" s="1"/>
  <c r="T23" i="3"/>
  <c r="R23" i="3"/>
  <c r="Q23" i="3"/>
  <c r="P23" i="3"/>
  <c r="M23" i="3"/>
  <c r="N23" i="3" s="1"/>
  <c r="L23" i="3"/>
  <c r="I23" i="3"/>
  <c r="J23" i="3" s="1"/>
  <c r="H23" i="3"/>
  <c r="E23" i="3"/>
  <c r="F23" i="3" s="1"/>
  <c r="D23" i="3"/>
  <c r="AP22" i="3"/>
  <c r="AO22" i="3"/>
  <c r="AN22" i="3"/>
  <c r="AK22" i="3"/>
  <c r="AL22" i="3" s="1"/>
  <c r="AJ22" i="3"/>
  <c r="AG22" i="3"/>
  <c r="AH22" i="3" s="1"/>
  <c r="AF22" i="3"/>
  <c r="AC22" i="3"/>
  <c r="AD22" i="3" s="1"/>
  <c r="AB22" i="3"/>
  <c r="D22" i="3" s="1"/>
  <c r="Z22" i="3"/>
  <c r="Y22" i="3"/>
  <c r="X22" i="3"/>
  <c r="U22" i="3"/>
  <c r="V22" i="3" s="1"/>
  <c r="T22" i="3"/>
  <c r="R22" i="3"/>
  <c r="Q22" i="3"/>
  <c r="P22" i="3"/>
  <c r="M22" i="3"/>
  <c r="N22" i="3" s="1"/>
  <c r="L22" i="3"/>
  <c r="J22" i="3"/>
  <c r="I22" i="3"/>
  <c r="H22" i="3"/>
  <c r="F22" i="3"/>
  <c r="E22" i="3"/>
  <c r="AO21" i="3"/>
  <c r="AP21" i="3" s="1"/>
  <c r="AN21" i="3"/>
  <c r="AK21" i="3"/>
  <c r="AL21" i="3" s="1"/>
  <c r="AJ21" i="3"/>
  <c r="AH21" i="3"/>
  <c r="AG21" i="3"/>
  <c r="AF21" i="3"/>
  <c r="AC21" i="3"/>
  <c r="AD21" i="3" s="1"/>
  <c r="AB21" i="3"/>
  <c r="Y21" i="3"/>
  <c r="Z21" i="3" s="1"/>
  <c r="X21" i="3"/>
  <c r="U21" i="3"/>
  <c r="V21" i="3" s="1"/>
  <c r="T21" i="3"/>
  <c r="R21" i="3"/>
  <c r="Q21" i="3"/>
  <c r="P21" i="3"/>
  <c r="M21" i="3"/>
  <c r="N21" i="3" s="1"/>
  <c r="L21" i="3"/>
  <c r="J21" i="3"/>
  <c r="I21" i="3"/>
  <c r="H21" i="3"/>
  <c r="E21" i="3"/>
  <c r="F21" i="3" s="1"/>
  <c r="D21" i="3"/>
  <c r="AN20" i="3"/>
  <c r="AK20" i="3"/>
  <c r="AG20" i="3"/>
  <c r="AB20" i="3"/>
  <c r="Y20" i="3"/>
  <c r="X20" i="3"/>
  <c r="U20" i="3"/>
  <c r="Q20" i="3"/>
  <c r="AP20" i="3" s="1"/>
  <c r="P20" i="3"/>
  <c r="AP8" i="3"/>
  <c r="AN19" i="3"/>
  <c r="AL8" i="3"/>
  <c r="AH8" i="3"/>
  <c r="AD8" i="3"/>
  <c r="AB19" i="3"/>
  <c r="Z8" i="3"/>
  <c r="X19" i="3"/>
  <c r="V8" i="3"/>
  <c r="P19" i="3"/>
  <c r="N8" i="3"/>
  <c r="J8" i="3"/>
  <c r="F8" i="3"/>
  <c r="AO18" i="3"/>
  <c r="AN18" i="3"/>
  <c r="AK18" i="3"/>
  <c r="AG18" i="3"/>
  <c r="AC18" i="3"/>
  <c r="AB18" i="3"/>
  <c r="Y18" i="3"/>
  <c r="X18" i="3"/>
  <c r="U18" i="3"/>
  <c r="Q18" i="3"/>
  <c r="P18" i="3"/>
  <c r="M18" i="3"/>
  <c r="I18" i="3"/>
  <c r="E18" i="3"/>
  <c r="AO17" i="3"/>
  <c r="U17" i="3"/>
  <c r="T17" i="3"/>
  <c r="E17" i="3"/>
  <c r="T16" i="3"/>
  <c r="Q16" i="3"/>
  <c r="AO15" i="3"/>
  <c r="AO7" i="3" s="1"/>
  <c r="AK15" i="3"/>
  <c r="AG15" i="3"/>
  <c r="AC15" i="3"/>
  <c r="Y15" i="3"/>
  <c r="U15" i="3"/>
  <c r="T15" i="3"/>
  <c r="Q15" i="3"/>
  <c r="M15" i="3"/>
  <c r="M7" i="3" s="1"/>
  <c r="I15" i="3"/>
  <c r="E15" i="3"/>
  <c r="AP14" i="3"/>
  <c r="AN14" i="3"/>
  <c r="AJ14" i="3"/>
  <c r="AH14" i="3"/>
  <c r="AB14" i="3"/>
  <c r="Z14" i="3"/>
  <c r="Y14" i="3"/>
  <c r="V14" i="3"/>
  <c r="T14" i="3"/>
  <c r="F14" i="3"/>
  <c r="E14" i="3"/>
  <c r="D14" i="3"/>
  <c r="AN13" i="3"/>
  <c r="AJ13" i="3"/>
  <c r="AB13" i="3"/>
  <c r="T13" i="3"/>
  <c r="D13" i="3"/>
  <c r="AO12" i="3"/>
  <c r="AN12" i="3"/>
  <c r="AK12" i="3"/>
  <c r="AJ12" i="3"/>
  <c r="AG12" i="3"/>
  <c r="AF12" i="3"/>
  <c r="AC12" i="3"/>
  <c r="AB12" i="3"/>
  <c r="Y12" i="3"/>
  <c r="X12" i="3"/>
  <c r="U12" i="3"/>
  <c r="V12" i="3" s="1"/>
  <c r="T12" i="3"/>
  <c r="P12" i="3"/>
  <c r="M12" i="3"/>
  <c r="L12" i="3"/>
  <c r="I12" i="3"/>
  <c r="AP12" i="3" s="1"/>
  <c r="H12" i="3"/>
  <c r="D12" i="3"/>
  <c r="AM9" i="3"/>
  <c r="AK9" i="3"/>
  <c r="AI9" i="3"/>
  <c r="AE9" i="3"/>
  <c r="AA9" i="3"/>
  <c r="Y9" i="3"/>
  <c r="W9" i="3"/>
  <c r="U9" i="3"/>
  <c r="S9" i="3"/>
  <c r="O9" i="3"/>
  <c r="K9" i="3"/>
  <c r="G9" i="3"/>
  <c r="E9" i="3"/>
  <c r="C9" i="3"/>
  <c r="AM8" i="3"/>
  <c r="AI8" i="3"/>
  <c r="AE8" i="3"/>
  <c r="AA8" i="3"/>
  <c r="W8" i="3"/>
  <c r="S8" i="3"/>
  <c r="O8" i="3"/>
  <c r="K8" i="3"/>
  <c r="G8" i="3"/>
  <c r="C8" i="3"/>
  <c r="AM7" i="3"/>
  <c r="AI7" i="3"/>
  <c r="AE7" i="3"/>
  <c r="AA7" i="3"/>
  <c r="W7" i="3"/>
  <c r="S7" i="3"/>
  <c r="O7" i="3"/>
  <c r="K7" i="3"/>
  <c r="G7" i="3"/>
  <c r="C7" i="3"/>
  <c r="AB13" i="2"/>
  <c r="AC13" i="2"/>
  <c r="AB14" i="2"/>
  <c r="AC14" i="2"/>
  <c r="AB15" i="2"/>
  <c r="AC15" i="2"/>
  <c r="AB16" i="2"/>
  <c r="AC16" i="2"/>
  <c r="AB17" i="2"/>
  <c r="AC17" i="2"/>
  <c r="AB18" i="2"/>
  <c r="AC18" i="2"/>
  <c r="AB19" i="2"/>
  <c r="AC19" i="2"/>
  <c r="AB20" i="2"/>
  <c r="AC20" i="2"/>
  <c r="AB21" i="2"/>
  <c r="AC21" i="2"/>
  <c r="AC12" i="2"/>
  <c r="AB12" i="2"/>
  <c r="F12" i="2"/>
  <c r="F13" i="2"/>
  <c r="F14" i="2"/>
  <c r="F15" i="2"/>
  <c r="F16" i="2"/>
  <c r="F17" i="2"/>
  <c r="F18" i="2"/>
  <c r="F19" i="2"/>
  <c r="F20" i="2"/>
  <c r="F21" i="2"/>
  <c r="AH20" i="3" l="1"/>
  <c r="R20" i="3"/>
  <c r="AH18" i="3"/>
  <c r="R18" i="3"/>
  <c r="N18" i="3"/>
  <c r="Y7" i="3"/>
  <c r="AP18" i="3"/>
  <c r="N20" i="3"/>
  <c r="V20" i="3"/>
  <c r="F20" i="3"/>
  <c r="F9" i="3" s="1"/>
  <c r="J20" i="3"/>
  <c r="AL20" i="3"/>
  <c r="V18" i="3"/>
  <c r="J18" i="3"/>
  <c r="F18" i="3"/>
  <c r="AL18" i="3"/>
  <c r="AO9" i="3"/>
  <c r="AP9" i="3"/>
  <c r="AC9" i="3"/>
  <c r="AA10" i="3"/>
  <c r="V12" i="1" s="1"/>
  <c r="S12" i="1" s="1"/>
  <c r="AJ9" i="3"/>
  <c r="X7" i="3"/>
  <c r="X8" i="3"/>
  <c r="T7" i="3"/>
  <c r="AG7" i="3"/>
  <c r="AJ7" i="3"/>
  <c r="P7" i="3"/>
  <c r="AF9" i="3"/>
  <c r="AN9" i="3"/>
  <c r="X9" i="3"/>
  <c r="H8" i="3"/>
  <c r="AN8" i="3"/>
  <c r="T8" i="3"/>
  <c r="L8" i="3"/>
  <c r="L7" i="3"/>
  <c r="AF7" i="3"/>
  <c r="H7" i="3"/>
  <c r="AP15" i="3"/>
  <c r="AM10" i="3"/>
  <c r="V14" i="1" s="1"/>
  <c r="S14" i="1" s="1"/>
  <c r="J17" i="3"/>
  <c r="N17" i="3"/>
  <c r="D9" i="3"/>
  <c r="AD15" i="3"/>
  <c r="R15" i="3"/>
  <c r="N15" i="3"/>
  <c r="J15" i="3"/>
  <c r="AB7" i="3"/>
  <c r="AD17" i="3"/>
  <c r="AH17" i="3"/>
  <c r="M9" i="3"/>
  <c r="R17" i="3"/>
  <c r="R16" i="3"/>
  <c r="R8" i="3" s="1"/>
  <c r="Q9" i="3"/>
  <c r="O10" i="3"/>
  <c r="V7" i="1" s="1"/>
  <c r="S7" i="1" s="1"/>
  <c r="AL15" i="3"/>
  <c r="AL17" i="3"/>
  <c r="P9" i="3"/>
  <c r="I9" i="3"/>
  <c r="AB9" i="3"/>
  <c r="Z17" i="3"/>
  <c r="AF8" i="3"/>
  <c r="AN7" i="3"/>
  <c r="I7" i="3"/>
  <c r="AH15" i="3"/>
  <c r="L9" i="3"/>
  <c r="AG9" i="3"/>
  <c r="AE10" i="3"/>
  <c r="V6" i="1" s="1"/>
  <c r="S6" i="1" s="1"/>
  <c r="H9" i="3"/>
  <c r="D8" i="3"/>
  <c r="AJ8" i="3"/>
  <c r="Z15" i="3"/>
  <c r="T9" i="3"/>
  <c r="V17" i="3"/>
  <c r="V9" i="3" s="1"/>
  <c r="AB8" i="3"/>
  <c r="V15" i="3"/>
  <c r="U7" i="3"/>
  <c r="AL12" i="3"/>
  <c r="N12" i="3"/>
  <c r="Z12" i="3"/>
  <c r="S10" i="3"/>
  <c r="V9" i="1" s="1"/>
  <c r="S9" i="1" s="1"/>
  <c r="Q7" i="3"/>
  <c r="AH12" i="3"/>
  <c r="G10" i="3"/>
  <c r="V10" i="1" s="1"/>
  <c r="S10" i="1" s="1"/>
  <c r="W10" i="3"/>
  <c r="V11" i="1" s="1"/>
  <c r="S11" i="1" s="1"/>
  <c r="J12" i="3"/>
  <c r="E7" i="3"/>
  <c r="AK7" i="3"/>
  <c r="F12" i="3"/>
  <c r="R12" i="3"/>
  <c r="AD12" i="3"/>
  <c r="AC7" i="3"/>
  <c r="K10" i="3"/>
  <c r="V8" i="1" s="1"/>
  <c r="S8" i="1" s="1"/>
  <c r="P8" i="3"/>
  <c r="R14" i="3"/>
  <c r="C10" i="3"/>
  <c r="V5" i="1" s="1"/>
  <c r="S5" i="1" s="1"/>
  <c r="N14" i="3"/>
  <c r="AD14" i="3"/>
  <c r="AL14" i="3"/>
  <c r="AI10" i="3"/>
  <c r="V13" i="1" s="1"/>
  <c r="S13" i="1" s="1"/>
  <c r="Z9" i="3" l="1"/>
  <c r="N9" i="3"/>
  <c r="AH9" i="3"/>
  <c r="J9" i="3"/>
  <c r="R9" i="3"/>
  <c r="AD9" i="3"/>
  <c r="AL9" i="3"/>
  <c r="L5" i="7" l="1"/>
  <c r="L5" i="4" l="1"/>
  <c r="J6" i="1" l="1"/>
  <c r="J7" i="1"/>
  <c r="J8" i="1"/>
  <c r="J9" i="1"/>
  <c r="J10" i="1"/>
  <c r="J11" i="1"/>
  <c r="J12" i="1"/>
  <c r="J13" i="1"/>
  <c r="J14" i="1"/>
  <c r="J5" i="1"/>
  <c r="AB10" i="2"/>
  <c r="AC10" i="2"/>
  <c r="AB11" i="2"/>
  <c r="AC11" i="2"/>
  <c r="F3" i="2"/>
  <c r="F4" i="2"/>
  <c r="F5" i="2"/>
  <c r="F6" i="2"/>
  <c r="F7" i="2"/>
  <c r="F8" i="2"/>
  <c r="F9" i="2"/>
  <c r="F10" i="2"/>
  <c r="F1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2" i="2"/>
  <c r="AC3" i="2"/>
  <c r="AC4" i="2"/>
  <c r="AC5" i="2"/>
  <c r="AC6" i="2"/>
  <c r="AC7" i="2"/>
  <c r="AC8" i="2"/>
  <c r="AC9" i="2"/>
  <c r="AC2" i="2"/>
  <c r="AB3" i="2"/>
  <c r="AB4" i="2"/>
  <c r="N7" i="1" s="1"/>
  <c r="AB5" i="2"/>
  <c r="AB6" i="2"/>
  <c r="N14" i="1" s="1"/>
  <c r="AB7" i="2"/>
  <c r="AB8" i="2"/>
  <c r="AB9" i="2"/>
  <c r="AB2" i="2"/>
  <c r="N5" i="1" s="1"/>
  <c r="R6" i="1"/>
  <c r="R7" i="1"/>
  <c r="R8" i="1"/>
  <c r="R9" i="1"/>
  <c r="R10" i="1"/>
  <c r="R11" i="1"/>
  <c r="R12" i="1"/>
  <c r="R13" i="1"/>
  <c r="R14" i="1"/>
  <c r="Q6" i="1"/>
  <c r="Q7" i="1"/>
  <c r="Q8" i="1"/>
  <c r="Q9" i="1"/>
  <c r="Q10" i="1"/>
  <c r="Q11" i="1"/>
  <c r="Q12" i="1"/>
  <c r="Q13" i="1"/>
  <c r="Q14" i="1"/>
  <c r="P6" i="1"/>
  <c r="P7" i="1"/>
  <c r="P8" i="1"/>
  <c r="P9" i="1"/>
  <c r="P10" i="1"/>
  <c r="P11" i="1"/>
  <c r="P12" i="1"/>
  <c r="P13" i="1"/>
  <c r="P14" i="1"/>
  <c r="P5" i="1"/>
  <c r="R5" i="1"/>
  <c r="O6" i="1"/>
  <c r="O7" i="1"/>
  <c r="O8" i="1"/>
  <c r="O9" i="1"/>
  <c r="O10" i="1"/>
  <c r="O11" i="1"/>
  <c r="O12" i="1"/>
  <c r="O13" i="1"/>
  <c r="O14" i="1"/>
  <c r="N6" i="1"/>
  <c r="N8" i="1"/>
  <c r="N10" i="1"/>
  <c r="N11" i="1"/>
  <c r="N12" i="1"/>
  <c r="N13" i="1"/>
  <c r="O5" i="1"/>
  <c r="Q5" i="1"/>
  <c r="M6" i="1"/>
  <c r="M7" i="1"/>
  <c r="M8" i="1"/>
  <c r="M9" i="1"/>
  <c r="M10" i="1"/>
  <c r="M11" i="1"/>
  <c r="M12" i="1"/>
  <c r="M13" i="1"/>
  <c r="M14" i="1"/>
  <c r="M5" i="1"/>
  <c r="L6" i="1"/>
  <c r="L7" i="1"/>
  <c r="L8" i="1"/>
  <c r="L9" i="1"/>
  <c r="L10" i="1"/>
  <c r="L11" i="1"/>
  <c r="L12" i="1"/>
  <c r="L13" i="1"/>
  <c r="L14" i="1"/>
  <c r="L5" i="1"/>
  <c r="K21" i="1"/>
  <c r="K22" i="1"/>
  <c r="K23" i="1"/>
  <c r="K24" i="1"/>
  <c r="K25" i="1"/>
  <c r="K26" i="1"/>
  <c r="K27" i="1"/>
  <c r="K28" i="1"/>
  <c r="K29" i="1"/>
  <c r="K20" i="1"/>
  <c r="K6" i="1"/>
  <c r="K7" i="1"/>
  <c r="K8" i="1"/>
  <c r="K9" i="1"/>
  <c r="K10" i="1"/>
  <c r="K11" i="1"/>
  <c r="K12" i="1"/>
  <c r="K13" i="1"/>
  <c r="K14" i="1"/>
  <c r="K5" i="1"/>
  <c r="I21" i="1"/>
  <c r="I22" i="1"/>
  <c r="I23" i="1"/>
  <c r="I24" i="1"/>
  <c r="I25" i="1"/>
  <c r="I26" i="1"/>
  <c r="I27" i="1"/>
  <c r="I28" i="1"/>
  <c r="I29" i="1"/>
  <c r="I20" i="1"/>
  <c r="I6" i="1"/>
  <c r="I7" i="1"/>
  <c r="I8" i="1"/>
  <c r="I9" i="1"/>
  <c r="I10" i="1"/>
  <c r="I11" i="1"/>
  <c r="I12" i="1"/>
  <c r="I13" i="1"/>
  <c r="I14" i="1"/>
  <c r="I5" i="1"/>
  <c r="H6" i="1"/>
  <c r="H7" i="1"/>
  <c r="H8" i="1"/>
  <c r="H9" i="1"/>
  <c r="H10" i="1"/>
  <c r="H11" i="1"/>
  <c r="H12" i="1"/>
  <c r="H13" i="1"/>
  <c r="H14" i="1"/>
  <c r="H5" i="1"/>
  <c r="F6" i="1"/>
  <c r="Y6" i="1" s="1"/>
  <c r="F7" i="1"/>
  <c r="Y7" i="1" s="1"/>
  <c r="F8" i="1"/>
  <c r="Y8" i="1" s="1"/>
  <c r="F9" i="1"/>
  <c r="Y9" i="1" s="1"/>
  <c r="F10" i="1"/>
  <c r="Y10" i="1" s="1"/>
  <c r="F11" i="1"/>
  <c r="Y11" i="1" s="1"/>
  <c r="F12" i="1"/>
  <c r="Y12" i="1" s="1"/>
  <c r="F13" i="1"/>
  <c r="Y13" i="1" s="1"/>
  <c r="F14" i="1"/>
  <c r="Y14" i="1" s="1"/>
  <c r="F5" i="1"/>
  <c r="Y5" i="1" s="1"/>
  <c r="D6" i="1"/>
  <c r="W6" i="1" s="1"/>
  <c r="D7" i="1"/>
  <c r="W7" i="1" s="1"/>
  <c r="D8" i="1"/>
  <c r="W8" i="1" s="1"/>
  <c r="D9" i="1"/>
  <c r="W9" i="1" s="1"/>
  <c r="D10" i="1"/>
  <c r="W10" i="1" s="1"/>
  <c r="D11" i="1"/>
  <c r="W11" i="1" s="1"/>
  <c r="D12" i="1"/>
  <c r="W12" i="1" s="1"/>
  <c r="D13" i="1"/>
  <c r="W13" i="1" s="1"/>
  <c r="D14" i="1"/>
  <c r="W14" i="1" s="1"/>
  <c r="D5" i="1"/>
  <c r="W5" i="1" s="1"/>
  <c r="E6" i="1"/>
  <c r="X6" i="1" s="1"/>
  <c r="E7" i="1"/>
  <c r="X7" i="1" s="1"/>
  <c r="E8" i="1"/>
  <c r="X8" i="1" s="1"/>
  <c r="E9" i="1"/>
  <c r="X9" i="1" s="1"/>
  <c r="E10" i="1"/>
  <c r="X10" i="1" s="1"/>
  <c r="E11" i="1"/>
  <c r="X11" i="1" s="1"/>
  <c r="E12" i="1"/>
  <c r="X12" i="1" s="1"/>
  <c r="E13" i="1"/>
  <c r="X13" i="1" s="1"/>
  <c r="E14" i="1"/>
  <c r="X14" i="1" s="1"/>
  <c r="E5" i="1"/>
  <c r="X5" i="1" s="1"/>
  <c r="Z13" i="1" l="1"/>
  <c r="Z9" i="1"/>
  <c r="Z14" i="1"/>
  <c r="Z10" i="1"/>
  <c r="Z6" i="1"/>
  <c r="Z12" i="1"/>
  <c r="Z8" i="1"/>
  <c r="Z5" i="1"/>
  <c r="Z11" i="1"/>
  <c r="Z7" i="1"/>
  <c r="N9" i="1"/>
  <c r="G7" i="1"/>
  <c r="G9" i="1"/>
  <c r="G6" i="1"/>
  <c r="G5" i="1"/>
  <c r="G11" i="1"/>
  <c r="G12" i="1"/>
  <c r="G13" i="1"/>
  <c r="G8" i="1"/>
  <c r="G14" i="1"/>
  <c r="G10" i="1"/>
</calcChain>
</file>

<file path=xl/sharedStrings.xml><?xml version="1.0" encoding="utf-8"?>
<sst xmlns="http://schemas.openxmlformats.org/spreadsheetml/2006/main" count="462" uniqueCount="120">
  <si>
    <t>squadre</t>
  </si>
  <si>
    <t>pt</t>
  </si>
  <si>
    <t>bonus</t>
  </si>
  <si>
    <t>pt mod</t>
  </si>
  <si>
    <t>pt tot</t>
  </si>
  <si>
    <t>punti</t>
  </si>
  <si>
    <t>class</t>
  </si>
  <si>
    <t>gol</t>
  </si>
  <si>
    <t>ass</t>
  </si>
  <si>
    <t>amm</t>
  </si>
  <si>
    <t>esp</t>
  </si>
  <si>
    <t>clnsht</t>
  </si>
  <si>
    <t>autogol</t>
  </si>
  <si>
    <t>rig f</t>
  </si>
  <si>
    <t>rig sb</t>
  </si>
  <si>
    <t>pt best</t>
  </si>
  <si>
    <t>bonus best</t>
  </si>
  <si>
    <t>mod dif best</t>
  </si>
  <si>
    <t>tot best</t>
  </si>
  <si>
    <t>diff pt</t>
  </si>
  <si>
    <t>diff bonus</t>
  </si>
  <si>
    <t>diff mod</t>
  </si>
  <si>
    <t>diff tot pt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</si>
  <si>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</si>
  <si>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</si>
  <si>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</si>
  <si>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</si>
  <si>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</si>
  <si>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</si>
  <si>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</si>
  <si>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</si>
  <si>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</si>
  <si>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</si>
  <si>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</si>
  <si>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</si>
  <si>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</si>
  <si>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</si>
  <si>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</si>
  <si>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</si>
  <si>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</si>
  <si>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</si>
  <si>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</si>
  <si>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</si>
  <si>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rig par f</t>
  </si>
  <si>
    <t>rig par s</t>
  </si>
  <si>
    <t>Cln Sht F</t>
  </si>
  <si>
    <t>Cln Sht S</t>
  </si>
  <si>
    <t>TRICCHETTRACHT</t>
  </si>
  <si>
    <t>ATL. IMPROVVISATO</t>
  </si>
  <si>
    <t>PARTIZAN DEGRADO</t>
  </si>
  <si>
    <t>SESTO ASENSIO</t>
  </si>
  <si>
    <t>AC ASPARAGHESE</t>
  </si>
  <si>
    <t>PESCICULINI</t>
  </si>
  <si>
    <t>SHARK</t>
  </si>
  <si>
    <t>SAN GRIA</t>
  </si>
  <si>
    <t>AS PIPPERIA</t>
  </si>
  <si>
    <t>FC INTERNAZIOANALE</t>
  </si>
  <si>
    <t>Totale</t>
  </si>
  <si>
    <t>rig par</t>
  </si>
  <si>
    <t>rig s</t>
  </si>
  <si>
    <t>TRICCHETRACHT</t>
  </si>
  <si>
    <t>TITOLARI</t>
  </si>
  <si>
    <t>TUTTI</t>
  </si>
  <si>
    <t>BEST 11</t>
  </si>
  <si>
    <t>TOT BEST 11</t>
  </si>
  <si>
    <t>Colonna:</t>
  </si>
  <si>
    <t>Pos</t>
  </si>
  <si>
    <t>Squadra</t>
  </si>
  <si>
    <t>gol r</t>
  </si>
  <si>
    <t>gol cl</t>
  </si>
  <si>
    <t>punti solo pagella</t>
  </si>
  <si>
    <t>punti dal mod difesa</t>
  </si>
  <si>
    <t>fantapunteggio</t>
  </si>
  <si>
    <t>punti in classifica generale</t>
  </si>
  <si>
    <t>gol in classifica generale</t>
  </si>
  <si>
    <t>gol segnati</t>
  </si>
  <si>
    <t>assist fatti</t>
  </si>
  <si>
    <t>ammonizioni</t>
  </si>
  <si>
    <t>espulsioni</t>
  </si>
  <si>
    <t>clean sheet</t>
  </si>
  <si>
    <t>autoreti</t>
  </si>
  <si>
    <t>rigori segnati</t>
  </si>
  <si>
    <t>rigori sbagliati</t>
  </si>
  <si>
    <t>rigori parati</t>
  </si>
  <si>
    <t>fantapunteggio miglior squadra possibile</t>
  </si>
  <si>
    <t>bonus miglior squadra possibile</t>
  </si>
  <si>
    <t>modificatore difesa miglior squadra possibile</t>
  </si>
  <si>
    <t>punti pagella miglior squadra possibile</t>
  </si>
  <si>
    <t xml:space="preserve">delta punti pagella </t>
  </si>
  <si>
    <t>delta punti bonus</t>
  </si>
  <si>
    <t xml:space="preserve">delta mod difesa </t>
  </si>
  <si>
    <t>delta fantapunteggio</t>
  </si>
  <si>
    <t>media tit</t>
  </si>
  <si>
    <t>media rosa</t>
  </si>
  <si>
    <t>media best</t>
  </si>
  <si>
    <t>Logo</t>
  </si>
  <si>
    <t>shark.png</t>
  </si>
  <si>
    <t>asparaghese.png</t>
  </si>
  <si>
    <t>pesciculini.png</t>
  </si>
  <si>
    <t>tricchettracht.png</t>
  </si>
  <si>
    <t>atleticoimp.png</t>
  </si>
  <si>
    <t>partizandeg.png</t>
  </si>
  <si>
    <t>sestoasensio.png</t>
  </si>
  <si>
    <t>sangria.png</t>
  </si>
  <si>
    <t>pipperia.png</t>
  </si>
  <si>
    <t>internazioanale.png</t>
  </si>
  <si>
    <t>punti dei bonus/malus</t>
  </si>
  <si>
    <t>MEDIA TIT</t>
  </si>
  <si>
    <t>MEDIA PT SQUADRA TIT</t>
  </si>
  <si>
    <t>con mod dif</t>
  </si>
  <si>
    <t>MEDIA TUTTI</t>
  </si>
  <si>
    <t>stessi gioc con mod dif</t>
  </si>
  <si>
    <t>MIGLIORI 11 FANTAVOTO</t>
  </si>
  <si>
    <t>PUNTI MASSIMI COMPRESO MOD DIFESA</t>
  </si>
  <si>
    <t>no mod dif</t>
  </si>
  <si>
    <t>SOMMA PUNTI MAX COMPRESO MOD DIF</t>
  </si>
  <si>
    <t>pt min</t>
  </si>
  <si>
    <t>pt max</t>
  </si>
  <si>
    <t>f1</t>
  </si>
  <si>
    <t>battle royale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</si>
</sst>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0]General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</font>
    <font>
      <b/>
      <sz val="11"/>
      <color rgb="FFFFFF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0"/>
      <name val="Aharoni"/>
      <charset val="177"/>
    </font>
    <font>
      <b/>
      <sz val="22"/>
      <color theme="0"/>
      <name val="Calibri"/>
      <family val="2"/>
      <scheme val="minor"/>
    </font>
    <font>
      <sz val="20"/>
      <color rgb="FF00206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164" fontId="4" fillId="0" borderId="0" applyBorder="0" applyProtection="0"/>
    <xf numFmtId="0" fontId="1" fillId="2" borderId="0">
      <alignment horizontal="center"/>
    </xf>
    <xf numFmtId="0" fontId="7" fillId="0" borderId="0"/>
    <xf numFmtId="0" fontId="7" fillId="0" borderId="0"/>
    <xf numFmtId="0" fontId="7" fillId="0" borderId="0"/>
  </cellStyleXfs>
  <cellXfs count="95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3" borderId="1" xfId="0" applyFont="1" applyFill="1" applyBorder="1"/>
    <xf numFmtId="0" fontId="0" fillId="2" borderId="1" xfId="0" applyFill="1" applyBorder="1"/>
    <xf numFmtId="0" fontId="1" fillId="0" borderId="0" xfId="0" applyFont="1" applyAlignment="1">
      <alignment horizontal="center"/>
    </xf>
    <xf numFmtId="0" fontId="3" fillId="4" borderId="1" xfId="0" applyFont="1" applyFill="1" applyBorder="1"/>
    <xf numFmtId="0" fontId="0" fillId="5" borderId="1" xfId="0" applyFill="1" applyBorder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quotePrefix="1" applyAlignment="1">
      <alignment horizontal="center" vertical="center"/>
    </xf>
    <xf numFmtId="0" fontId="3" fillId="3" borderId="0" xfId="0" applyFont="1" applyFill="1"/>
    <xf numFmtId="0" fontId="2" fillId="0" borderId="0" xfId="0" applyFont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0" borderId="1" xfId="0" applyNumberFormat="1" applyBorder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/>
    </xf>
    <xf numFmtId="0" fontId="12" fillId="5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center" vertical="center"/>
    </xf>
    <xf numFmtId="0" fontId="0" fillId="7" borderId="0" xfId="0" applyFill="1"/>
    <xf numFmtId="0" fontId="1" fillId="7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6" fillId="7" borderId="11" xfId="0" applyFont="1" applyFill="1" applyBorder="1" applyAlignment="1">
      <alignment vertical="center" wrapText="1"/>
    </xf>
    <xf numFmtId="0" fontId="6" fillId="7" borderId="15" xfId="0" applyFont="1" applyFill="1" applyBorder="1" applyAlignment="1">
      <alignment vertical="center" wrapText="1"/>
    </xf>
    <xf numFmtId="0" fontId="6" fillId="7" borderId="12" xfId="0" applyFont="1" applyFill="1" applyBorder="1" applyAlignment="1">
      <alignment vertical="center" wrapText="1"/>
    </xf>
    <xf numFmtId="0" fontId="3" fillId="7" borderId="0" xfId="0" applyFont="1" applyFill="1" applyAlignment="1">
      <alignment horizontal="center"/>
    </xf>
    <xf numFmtId="0" fontId="3" fillId="7" borderId="13" xfId="0" applyFont="1" applyFill="1" applyBorder="1"/>
    <xf numFmtId="0" fontId="0" fillId="0" borderId="0" xfId="0" applyAlignment="1">
      <alignment horizontal="center"/>
    </xf>
    <xf numFmtId="0" fontId="13" fillId="7" borderId="0" xfId="0" applyFont="1" applyFill="1"/>
    <xf numFmtId="0" fontId="13" fillId="0" borderId="0" xfId="0" applyFont="1"/>
    <xf numFmtId="0" fontId="5" fillId="2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vertical="center"/>
    </xf>
    <xf numFmtId="2" fontId="15" fillId="5" borderId="1" xfId="0" applyNumberFormat="1" applyFont="1" applyFill="1" applyBorder="1" applyAlignment="1">
      <alignment vertical="center"/>
    </xf>
    <xf numFmtId="2" fontId="0" fillId="0" borderId="0" xfId="0" applyNumberFormat="1"/>
    <xf numFmtId="0" fontId="0" fillId="8" borderId="0" xfId="0" applyFill="1"/>
    <xf numFmtId="0" fontId="0" fillId="5" borderId="0" xfId="0" applyFill="1"/>
    <xf numFmtId="0" fontId="0" fillId="6" borderId="0" xfId="0" applyFill="1"/>
    <xf numFmtId="0" fontId="1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6" borderId="1" xfId="0" applyFill="1" applyBorder="1" applyAlignment="1">
      <alignment wrapText="1"/>
    </xf>
    <xf numFmtId="0" fontId="0" fillId="4" borderId="1" xfId="0" applyFill="1" applyBorder="1"/>
    <xf numFmtId="2" fontId="5" fillId="4" borderId="1" xfId="0" applyNumberFormat="1" applyFont="1" applyFill="1" applyBorder="1" applyAlignment="1">
      <alignment horizontal="center" vertical="center"/>
    </xf>
    <xf numFmtId="2" fontId="5" fillId="4" borderId="1" xfId="0" applyNumberFormat="1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6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2" fontId="5" fillId="2" borderId="7" xfId="0" applyNumberFormat="1" applyFont="1" applyFill="1" applyBorder="1" applyAlignment="1">
      <alignment horizontal="center" vertical="center"/>
    </xf>
    <xf numFmtId="2" fontId="5" fillId="2" borderId="8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/>
    </xf>
    <xf numFmtId="0" fontId="0" fillId="3" borderId="1" xfId="0" applyFill="1" applyBorder="1"/>
    <xf numFmtId="0" fontId="0" fillId="9" borderId="1" xfId="0" applyFill="1" applyBorder="1"/>
  </cellXfs>
  <cellStyles count="6">
    <cellStyle name="Excel Built-in Normal" xfId="1" xr:uid="{2E3B5596-21BA-424D-A9E8-9822CA2E6B2C}"/>
    <cellStyle name="Normale" xfId="0" builtinId="0"/>
    <cellStyle name="Normale 2" xfId="3" xr:uid="{42CBD17C-BD6C-4BB6-85A1-85C4E16496C3}"/>
    <cellStyle name="Normale 3" xfId="4" xr:uid="{D095F262-6C66-4DB2-B02F-42C3AF326173}"/>
    <cellStyle name="Normale 4" xfId="5" xr:uid="{3200FC01-62BC-4D3E-A3B8-AAB99F109987}"/>
    <cellStyle name="Stile 2" xfId="2" xr:uid="{F1C8CFEB-37B0-48AD-9EB4-EF77DBE466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internazioanale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esciculini.png" TargetMode="External"/><Relationship Id="rId2" Type="http://schemas.openxmlformats.org/officeDocument/2006/relationships/image" Target="file:///E:\---%20fantacalcio%20tot%20uff\26-27\loghi%20finiti\atleticoimp.png" TargetMode="External"/><Relationship Id="rId1" Type="http://schemas.openxmlformats.org/officeDocument/2006/relationships/image" Target="file:///E:\---%20fantacalcio%20tot%20uff\26-27\loghi%20finiti\partizandeg.png" TargetMode="External"/><Relationship Id="rId6" Type="http://schemas.openxmlformats.org/officeDocument/2006/relationships/image" Target="file:///E:\---%20fantacalcio%20tot%20uff\26-27\loghi%20finiti\shark.png" TargetMode="External"/><Relationship Id="rId5" Type="http://schemas.openxmlformats.org/officeDocument/2006/relationships/image" Target="file:///E:\---%20fantacalcio%20tot%20uff\26-27\loghi%20finiti\sestoasensio.png" TargetMode="External"/><Relationship Id="rId10" Type="http://schemas.openxmlformats.org/officeDocument/2006/relationships/image" Target="file:///E:\---%20fantacalcio%20tot%20uff\26-27\loghi%20finiti\pipperia.png" TargetMode="External"/><Relationship Id="rId4" Type="http://schemas.openxmlformats.org/officeDocument/2006/relationships/image" Target="file:///E:\---%20fantacalcio%20tot%20uff\26-27\loghi%20finiti\tricchettracht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shark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ipperia.png" TargetMode="External"/><Relationship Id="rId2" Type="http://schemas.openxmlformats.org/officeDocument/2006/relationships/image" Target="file:///E:\---%20fantacalcio%20tot%20uff\26-27\loghi%20finiti\sestoasensio.png" TargetMode="External"/><Relationship Id="rId1" Type="http://schemas.openxmlformats.org/officeDocument/2006/relationships/image" Target="file:///E:\---%20fantacalcio%20tot%20uff\26-27\loghi%20finiti\tricchettracht.png" TargetMode="External"/><Relationship Id="rId6" Type="http://schemas.openxmlformats.org/officeDocument/2006/relationships/image" Target="file:///E:\---%20fantacalcio%20tot%20uff\26-27\loghi%20finiti\internazioanale.png" TargetMode="External"/><Relationship Id="rId5" Type="http://schemas.openxmlformats.org/officeDocument/2006/relationships/image" Target="file:///E:\---%20fantacalcio%20tot%20uff\26-27\loghi%20finiti\partizandeg.png" TargetMode="External"/><Relationship Id="rId10" Type="http://schemas.openxmlformats.org/officeDocument/2006/relationships/image" Target="file:///E:\---%20fantacalcio%20tot%20uff\26-27\loghi%20finiti\atleticoimp.png" TargetMode="External"/><Relationship Id="rId4" Type="http://schemas.openxmlformats.org/officeDocument/2006/relationships/image" Target="file:///E:\---%20fantacalcio%20tot%20uff\26-27\loghi%20finiti\pesciculini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53671</xdr:rowOff>
    </xdr:from>
    <xdr:to>
      <xdr:col>1</xdr:col>
      <xdr:colOff>665480</xdr:colOff>
      <xdr:row>4</xdr:row>
      <xdr:rowOff>616888</xdr:rowOff>
    </xdr:to>
    <xdr:pic>
      <xdr:nvPicPr>
        <xdr:cNvPr id="43" name="Logo_PARTIZAN DEGRADO">
          <a:extLst>
            <a:ext uri="{FF2B5EF4-FFF2-40B4-BE49-F238E27FC236}">
              <a16:creationId xmlns:a16="http://schemas.microsoft.com/office/drawing/2014/main" id="{24987731-FF4C-B1A1-8BCC-EF2085E56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0711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12849</xdr:rowOff>
    </xdr:from>
    <xdr:to>
      <xdr:col>1</xdr:col>
      <xdr:colOff>665480</xdr:colOff>
      <xdr:row>5</xdr:row>
      <xdr:rowOff>657712</xdr:rowOff>
    </xdr:to>
    <xdr:pic>
      <xdr:nvPicPr>
        <xdr:cNvPr id="45" name="Logo_ATL. IMPROVVISATO">
          <a:extLst>
            <a:ext uri="{FF2B5EF4-FFF2-40B4-BE49-F238E27FC236}">
              <a16:creationId xmlns:a16="http://schemas.microsoft.com/office/drawing/2014/main" id="{BC19D91A-1C19-46BD-FC2F-BF15B92C7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536849"/>
          <a:ext cx="508000" cy="64486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7" name="Logo_AC ASPARAGHESE">
          <a:extLst>
            <a:ext uri="{FF2B5EF4-FFF2-40B4-BE49-F238E27FC236}">
              <a16:creationId xmlns:a16="http://schemas.microsoft.com/office/drawing/2014/main" id="{3FAA2EC5-A691-6D9A-B37B-DA909B397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92216</xdr:rowOff>
    </xdr:from>
    <xdr:to>
      <xdr:col>1</xdr:col>
      <xdr:colOff>665480</xdr:colOff>
      <xdr:row>7</xdr:row>
      <xdr:rowOff>578345</xdr:rowOff>
    </xdr:to>
    <xdr:pic>
      <xdr:nvPicPr>
        <xdr:cNvPr id="49" name="Logo_TRICCHETRACHT">
          <a:extLst>
            <a:ext uri="{FF2B5EF4-FFF2-40B4-BE49-F238E27FC236}">
              <a16:creationId xmlns:a16="http://schemas.microsoft.com/office/drawing/2014/main" id="{DB4B3C99-5530-0502-E4AE-AE228207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7336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78197</xdr:rowOff>
    </xdr:from>
    <xdr:to>
      <xdr:col>1</xdr:col>
      <xdr:colOff>665480</xdr:colOff>
      <xdr:row>8</xdr:row>
      <xdr:rowOff>592362</xdr:rowOff>
    </xdr:to>
    <xdr:pic>
      <xdr:nvPicPr>
        <xdr:cNvPr id="51" name="Logo_SESTO ASENSIO">
          <a:extLst>
            <a:ext uri="{FF2B5EF4-FFF2-40B4-BE49-F238E27FC236}">
              <a16:creationId xmlns:a16="http://schemas.microsoft.com/office/drawing/2014/main" id="{312BC80E-FC60-997D-689B-8EC1CEFD9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613877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86813</xdr:rowOff>
    </xdr:from>
    <xdr:to>
      <xdr:col>6</xdr:col>
      <xdr:colOff>654050</xdr:colOff>
      <xdr:row>4</xdr:row>
      <xdr:rowOff>583747</xdr:rowOff>
    </xdr:to>
    <xdr:pic>
      <xdr:nvPicPr>
        <xdr:cNvPr id="53" name="Logo_SHARK">
          <a:extLst>
            <a:ext uri="{FF2B5EF4-FFF2-40B4-BE49-F238E27FC236}">
              <a16:creationId xmlns:a16="http://schemas.microsoft.com/office/drawing/2014/main" id="{CBC6263E-9DAF-A77B-ADF0-6DA480F85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025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87328</xdr:rowOff>
    </xdr:from>
    <xdr:to>
      <xdr:col>6</xdr:col>
      <xdr:colOff>654050</xdr:colOff>
      <xdr:row>5</xdr:row>
      <xdr:rowOff>583233</xdr:rowOff>
    </xdr:to>
    <xdr:pic>
      <xdr:nvPicPr>
        <xdr:cNvPr id="55" name="Logo_PESCICULINI">
          <a:extLst>
            <a:ext uri="{FF2B5EF4-FFF2-40B4-BE49-F238E27FC236}">
              <a16:creationId xmlns:a16="http://schemas.microsoft.com/office/drawing/2014/main" id="{ABE5C894-F880-A35B-496B-669EA413B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1328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90039</xdr:rowOff>
    </xdr:from>
    <xdr:to>
      <xdr:col>6</xdr:col>
      <xdr:colOff>654050</xdr:colOff>
      <xdr:row>6</xdr:row>
      <xdr:rowOff>580522</xdr:rowOff>
    </xdr:to>
    <xdr:pic>
      <xdr:nvPicPr>
        <xdr:cNvPr id="57" name="Logo_FC INTERNAZIOANALE">
          <a:extLst>
            <a:ext uri="{FF2B5EF4-FFF2-40B4-BE49-F238E27FC236}">
              <a16:creationId xmlns:a16="http://schemas.microsoft.com/office/drawing/2014/main" id="{04884BEF-615B-5E33-CFBD-4A598A585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4599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59" name="Logo_SAN GRIA">
          <a:extLst>
            <a:ext uri="{FF2B5EF4-FFF2-40B4-BE49-F238E27FC236}">
              <a16:creationId xmlns:a16="http://schemas.microsoft.com/office/drawing/2014/main" id="{BFB31258-67CB-C364-5DDD-8B620EA98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94557</xdr:rowOff>
    </xdr:from>
    <xdr:to>
      <xdr:col>6</xdr:col>
      <xdr:colOff>654050</xdr:colOff>
      <xdr:row>8</xdr:row>
      <xdr:rowOff>576003</xdr:rowOff>
    </xdr:to>
    <xdr:pic>
      <xdr:nvPicPr>
        <xdr:cNvPr id="61" name="Logo_AS PIPPERIA">
          <a:extLst>
            <a:ext uri="{FF2B5EF4-FFF2-40B4-BE49-F238E27FC236}">
              <a16:creationId xmlns:a16="http://schemas.microsoft.com/office/drawing/2014/main" id="{2EE19908-3E29-A690-947B-F68B7CA92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630237"/>
          <a:ext cx="508000" cy="4814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92215</xdr:rowOff>
    </xdr:from>
    <xdr:to>
      <xdr:col>1</xdr:col>
      <xdr:colOff>665480</xdr:colOff>
      <xdr:row>4</xdr:row>
      <xdr:rowOff>578344</xdr:rowOff>
    </xdr:to>
    <xdr:pic>
      <xdr:nvPicPr>
        <xdr:cNvPr id="2" name="Logo_TRICCHETTRACHT">
          <a:extLst>
            <a:ext uri="{FF2B5EF4-FFF2-40B4-BE49-F238E27FC236}">
              <a16:creationId xmlns:a16="http://schemas.microsoft.com/office/drawing/2014/main" id="{D8FBB988-E992-46B6-A620-BB0512979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45655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78198</xdr:rowOff>
    </xdr:from>
    <xdr:to>
      <xdr:col>1</xdr:col>
      <xdr:colOff>665480</xdr:colOff>
      <xdr:row>5</xdr:row>
      <xdr:rowOff>592363</xdr:rowOff>
    </xdr:to>
    <xdr:pic>
      <xdr:nvPicPr>
        <xdr:cNvPr id="3" name="Logo_SESTO ASENSIO">
          <a:extLst>
            <a:ext uri="{FF2B5EF4-FFF2-40B4-BE49-F238E27FC236}">
              <a16:creationId xmlns:a16="http://schemas.microsoft.com/office/drawing/2014/main" id="{59C54EAC-909E-4294-804E-6072FF425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602198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" name="Logo_AC ASPARAGHESE">
          <a:extLst>
            <a:ext uri="{FF2B5EF4-FFF2-40B4-BE49-F238E27FC236}">
              <a16:creationId xmlns:a16="http://schemas.microsoft.com/office/drawing/2014/main" id="{04276D9E-FD2D-4731-B7A2-C82CBFF3C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87327</xdr:rowOff>
    </xdr:from>
    <xdr:to>
      <xdr:col>1</xdr:col>
      <xdr:colOff>665480</xdr:colOff>
      <xdr:row>7</xdr:row>
      <xdr:rowOff>583232</xdr:rowOff>
    </xdr:to>
    <xdr:pic>
      <xdr:nvPicPr>
        <xdr:cNvPr id="5" name="Logo_PESCICULINI">
          <a:extLst>
            <a:ext uri="{FF2B5EF4-FFF2-40B4-BE49-F238E27FC236}">
              <a16:creationId xmlns:a16="http://schemas.microsoft.com/office/drawing/2014/main" id="{16869467-3879-4FEF-BF64-D2B0B0BF1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2447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53671</xdr:rowOff>
    </xdr:from>
    <xdr:to>
      <xdr:col>1</xdr:col>
      <xdr:colOff>665480</xdr:colOff>
      <xdr:row>8</xdr:row>
      <xdr:rowOff>616888</xdr:rowOff>
    </xdr:to>
    <xdr:pic>
      <xdr:nvPicPr>
        <xdr:cNvPr id="6" name="Logo_PARTIZAN DEGRADO">
          <a:extLst>
            <a:ext uri="{FF2B5EF4-FFF2-40B4-BE49-F238E27FC236}">
              <a16:creationId xmlns:a16="http://schemas.microsoft.com/office/drawing/2014/main" id="{0E257DB6-C28A-4902-862F-68C987A7E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58935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90038</xdr:rowOff>
    </xdr:from>
    <xdr:to>
      <xdr:col>6</xdr:col>
      <xdr:colOff>654050</xdr:colOff>
      <xdr:row>4</xdr:row>
      <xdr:rowOff>580521</xdr:rowOff>
    </xdr:to>
    <xdr:pic>
      <xdr:nvPicPr>
        <xdr:cNvPr id="7" name="Logo_FC INTERNAZIOANALE">
          <a:extLst>
            <a:ext uri="{FF2B5EF4-FFF2-40B4-BE49-F238E27FC236}">
              <a16:creationId xmlns:a16="http://schemas.microsoft.com/office/drawing/2014/main" id="{3A35DB8A-FCE8-4737-B3F7-B879BB521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3478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94557</xdr:rowOff>
    </xdr:from>
    <xdr:to>
      <xdr:col>6</xdr:col>
      <xdr:colOff>654050</xdr:colOff>
      <xdr:row>5</xdr:row>
      <xdr:rowOff>576003</xdr:rowOff>
    </xdr:to>
    <xdr:pic>
      <xdr:nvPicPr>
        <xdr:cNvPr id="8" name="Logo_AS PIPPERIA">
          <a:extLst>
            <a:ext uri="{FF2B5EF4-FFF2-40B4-BE49-F238E27FC236}">
              <a16:creationId xmlns:a16="http://schemas.microsoft.com/office/drawing/2014/main" id="{C593C3BB-62F9-4356-A034-FE9925CB5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8557"/>
          <a:ext cx="508000" cy="481446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86813</xdr:rowOff>
    </xdr:from>
    <xdr:to>
      <xdr:col>6</xdr:col>
      <xdr:colOff>654050</xdr:colOff>
      <xdr:row>6</xdr:row>
      <xdr:rowOff>583747</xdr:rowOff>
    </xdr:to>
    <xdr:pic>
      <xdr:nvPicPr>
        <xdr:cNvPr id="9" name="Logo_SHARK">
          <a:extLst>
            <a:ext uri="{FF2B5EF4-FFF2-40B4-BE49-F238E27FC236}">
              <a16:creationId xmlns:a16="http://schemas.microsoft.com/office/drawing/2014/main" id="{72B38782-5230-45D8-AFD7-3CACE7D67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137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10" name="Logo_SAN GRIA">
          <a:extLst>
            <a:ext uri="{FF2B5EF4-FFF2-40B4-BE49-F238E27FC236}">
              <a16:creationId xmlns:a16="http://schemas.microsoft.com/office/drawing/2014/main" id="{227D1132-AF57-411E-BDD5-636386262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12848</xdr:rowOff>
    </xdr:from>
    <xdr:to>
      <xdr:col>6</xdr:col>
      <xdr:colOff>654050</xdr:colOff>
      <xdr:row>8</xdr:row>
      <xdr:rowOff>657711</xdr:rowOff>
    </xdr:to>
    <xdr:pic>
      <xdr:nvPicPr>
        <xdr:cNvPr id="11" name="Logo_ATL. IMPROVVISATO">
          <a:extLst>
            <a:ext uri="{FF2B5EF4-FFF2-40B4-BE49-F238E27FC236}">
              <a16:creationId xmlns:a16="http://schemas.microsoft.com/office/drawing/2014/main" id="{7F8E876A-ECEB-4E80-BB4C-B8A77DE1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548528"/>
          <a:ext cx="508000" cy="644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D29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C5" sqref="AC5"/>
    </sheetView>
  </sheetViews>
  <sheetFormatPr defaultRowHeight="14.4" x14ac:dyDescent="0.3"/>
  <cols>
    <col min="1" max="1" width="4.44140625" customWidth="1"/>
    <col min="2" max="2" width="20.109375" customWidth="1"/>
    <col min="3" max="3" width="18.88671875" customWidth="1"/>
    <col min="4" max="7" width="8.6640625" style="1" customWidth="1"/>
    <col min="8" max="8" width="6.33203125" style="1" customWidth="1"/>
    <col min="9" max="18" width="6.33203125" customWidth="1"/>
    <col min="19" max="19" width="9.5546875" customWidth="1"/>
    <col min="20" max="21" width="6.33203125" customWidth="1"/>
    <col min="22" max="22" width="9.33203125" customWidth="1"/>
    <col min="23" max="23" width="11" customWidth="1"/>
    <col min="24" max="25" width="9" bestFit="1" customWidth="1"/>
    <col min="26" max="26" width="11.77734375" customWidth="1"/>
  </cols>
  <sheetData>
    <row r="1" spans="1:30" x14ac:dyDescent="0.3">
      <c r="D1" s="7"/>
      <c r="E1" s="7"/>
      <c r="F1" s="7"/>
      <c r="G1" s="7"/>
      <c r="H1" s="7"/>
    </row>
    <row r="2" spans="1:30" x14ac:dyDescent="0.3">
      <c r="D2" s="73" t="s">
        <v>5</v>
      </c>
      <c r="E2" s="73"/>
      <c r="F2" s="73"/>
      <c r="G2" s="73"/>
      <c r="H2" s="73"/>
      <c r="I2" s="75" t="s">
        <v>2</v>
      </c>
      <c r="J2" s="76"/>
      <c r="K2" s="76"/>
      <c r="L2" s="76"/>
      <c r="M2" s="76"/>
      <c r="N2" s="76"/>
      <c r="O2" s="76"/>
      <c r="P2" s="76"/>
      <c r="Q2" s="76"/>
      <c r="R2" s="76"/>
      <c r="S2" s="1"/>
      <c r="T2" s="1"/>
      <c r="U2" s="1"/>
    </row>
    <row r="3" spans="1:30" s="62" customFormat="1" ht="42" customHeight="1" x14ac:dyDescent="0.3">
      <c r="B3" s="62" t="s">
        <v>0</v>
      </c>
      <c r="D3" s="63" t="s">
        <v>1</v>
      </c>
      <c r="E3" s="63" t="s">
        <v>2</v>
      </c>
      <c r="F3" s="63" t="s">
        <v>3</v>
      </c>
      <c r="G3" s="63" t="s">
        <v>4</v>
      </c>
      <c r="H3" s="63" t="s">
        <v>6</v>
      </c>
      <c r="I3" s="63" t="s">
        <v>69</v>
      </c>
      <c r="J3" s="63" t="s">
        <v>68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58</v>
      </c>
      <c r="S3" s="64" t="s">
        <v>15</v>
      </c>
      <c r="T3" s="64" t="s">
        <v>16</v>
      </c>
      <c r="U3" s="64" t="s">
        <v>17</v>
      </c>
      <c r="V3" s="64" t="s">
        <v>18</v>
      </c>
      <c r="W3" s="65" t="s">
        <v>19</v>
      </c>
      <c r="X3" s="65" t="s">
        <v>20</v>
      </c>
      <c r="Y3" s="65" t="s">
        <v>21</v>
      </c>
      <c r="Z3" s="65" t="s">
        <v>22</v>
      </c>
      <c r="AA3" s="66" t="s">
        <v>117</v>
      </c>
      <c r="AB3" s="66" t="s">
        <v>116</v>
      </c>
      <c r="AC3" s="70" t="s">
        <v>118</v>
      </c>
      <c r="AD3" s="70" t="s">
        <v>119</v>
      </c>
    </row>
    <row r="4" spans="1:30" x14ac:dyDescent="0.3">
      <c r="D4" s="2"/>
      <c r="E4" s="2"/>
      <c r="F4" s="2"/>
      <c r="G4" s="2"/>
      <c r="H4" s="2"/>
      <c r="I4" s="6"/>
      <c r="J4" s="6"/>
      <c r="K4" s="6"/>
      <c r="L4" s="6"/>
      <c r="M4" s="6"/>
      <c r="N4" s="6"/>
      <c r="O4" s="6"/>
      <c r="P4" s="6"/>
      <c r="Q4" s="6"/>
      <c r="R4" s="6"/>
      <c r="S4" s="67"/>
      <c r="T4" s="8"/>
      <c r="U4" s="8"/>
      <c r="V4" s="8"/>
      <c r="W4" s="9"/>
      <c r="X4" s="9"/>
      <c r="Y4" s="9"/>
      <c r="Z4" s="9"/>
    </row>
    <row r="5" spans="1:30" ht="34.799999999999997" customHeight="1" x14ac:dyDescent="0.3">
      <c r="A5">
        <v>1</v>
      </c>
      <c r="B5" t="s">
        <v>60</v>
      </c>
      <c r="C5" t="s">
        <v>99</v>
      </c>
      <c r="D5" s="53">
        <f>SUMIF(Foglio2!$B:$B,$B5,Foglio2!C:C)</f>
        <v>204.5</v>
      </c>
      <c r="E5" s="53">
        <f>SUMIF(Foglio2!$B:$B,$B5,Foglio2!D:D)</f>
        <v>21.5</v>
      </c>
      <c r="F5" s="53">
        <f>SUMIF(Foglio2!$B:$B,$B5,Foglio2!E:E)</f>
        <v>5</v>
      </c>
      <c r="G5" s="53">
        <f>SUM(D5:F5)</f>
        <v>231</v>
      </c>
      <c r="H5" s="53">
        <f>SUMIF(Foglio2!$B:$B,$B5,Foglio2!G:G)</f>
        <v>9</v>
      </c>
      <c r="I5" s="53">
        <f>SUMIF(Foglio2!$B:$B,$B5,Foglio2!H:H)</f>
        <v>8</v>
      </c>
      <c r="J5" s="53">
        <f>SUMIF(Foglio2!$B:$B,$B5,Foglio2!J:J)</f>
        <v>7</v>
      </c>
      <c r="K5" s="53">
        <f>SUMIF(Foglio2!$B:$B,$B5,Foglio2!N:N)</f>
        <v>2</v>
      </c>
      <c r="L5" s="53">
        <f>SUMIF(Foglio2!$B:$B,$B5,Foglio2!P:P)</f>
        <v>1</v>
      </c>
      <c r="M5" s="53">
        <f>SUMIF(Foglio2!$B:$B,$B5,Foglio2!R:R)</f>
        <v>0</v>
      </c>
      <c r="N5" s="53">
        <f>SUMIF(Foglio2!$B:$B,$B5,Foglio2!AB:AB)</f>
        <v>1</v>
      </c>
      <c r="O5" s="53">
        <f>SUMIF(Foglio2!$B:$B,$B5,Foglio2!T:T)</f>
        <v>0</v>
      </c>
      <c r="P5" s="53">
        <f>SUMIF(Foglio2!$B:$B,$B5,Foglio2!V:V)</f>
        <v>0</v>
      </c>
      <c r="Q5" s="53">
        <f>SUMIF(Foglio2!$B:$B,$B5,Foglio2!X:X)</f>
        <v>1</v>
      </c>
      <c r="R5" s="53">
        <f>SUMIF(Foglio2!$B:$B,$B5,Foglio2!Z:Z)</f>
        <v>0</v>
      </c>
      <c r="S5" s="68">
        <f>V5-U5-T5</f>
        <v>223.5</v>
      </c>
      <c r="T5" s="54">
        <v>23</v>
      </c>
      <c r="U5" s="54">
        <v>5</v>
      </c>
      <c r="V5" s="69">
        <f>Foglio3!$C10</f>
        <v>251.5</v>
      </c>
      <c r="W5" s="55">
        <f>SUM(D5-S5)</f>
        <v>-19</v>
      </c>
      <c r="X5" s="55">
        <f>SUM(E5-T5)</f>
        <v>-1.5</v>
      </c>
      <c r="Y5" s="55">
        <f>SUM(F5-U5)</f>
        <v>0</v>
      </c>
      <c r="Z5" s="55">
        <f>SUM(W5:Y5)</f>
        <v>-20.5</v>
      </c>
      <c r="AA5" s="31">
        <f>_xlfn.MAXIFS(Foglio2!$F:$F, Foglio2!$B:$B, $B5)</f>
        <v>86</v>
      </c>
      <c r="AB5" s="31">
        <f>_xlfn.MINIFS(Foglio2!$F:$F, Foglio2!$B:$B, $B5)</f>
        <v>72</v>
      </c>
      <c r="AC5" s="5"/>
      <c r="AD5" s="5"/>
    </row>
    <row r="6" spans="1:30" ht="34.799999999999997" customHeight="1" x14ac:dyDescent="0.3">
      <c r="A6">
        <v>2</v>
      </c>
      <c r="B6" t="s">
        <v>48</v>
      </c>
      <c r="C6" t="s">
        <v>100</v>
      </c>
      <c r="D6" s="53">
        <f>SUMIF(Foglio2!$B:$B,$B6,Foglio2!C:C)</f>
        <v>195.5</v>
      </c>
      <c r="E6" s="53">
        <f>SUMIF(Foglio2!$B:$B,$B6,Foglio2!D:D)</f>
        <v>16</v>
      </c>
      <c r="F6" s="53">
        <f>SUMIF(Foglio2!$B:$B,$B6,Foglio2!E:E)</f>
        <v>3</v>
      </c>
      <c r="G6" s="53">
        <f t="shared" ref="G6:G14" si="0">SUM(D6:F6)</f>
        <v>214.5</v>
      </c>
      <c r="H6" s="53">
        <f>SUMIF(Foglio2!$B:$B,$B6,Foglio2!G:G)</f>
        <v>3</v>
      </c>
      <c r="I6" s="53">
        <f>SUMIF(Foglio2!$B:$B,$B6,Foglio2!H:H)</f>
        <v>5</v>
      </c>
      <c r="J6" s="53">
        <f>SUMIF(Foglio2!$B:$B,$B6,Foglio2!J:J)</f>
        <v>6</v>
      </c>
      <c r="K6" s="53">
        <f>SUMIF(Foglio2!$B:$B,$B6,Foglio2!N:N)</f>
        <v>2</v>
      </c>
      <c r="L6" s="53">
        <f>SUMIF(Foglio2!$B:$B,$B6,Foglio2!P:P)</f>
        <v>0</v>
      </c>
      <c r="M6" s="53">
        <f>SUMIF(Foglio2!$B:$B,$B6,Foglio2!R:R)</f>
        <v>0</v>
      </c>
      <c r="N6" s="53">
        <f>SUMIF(Foglio2!$B:$B,$B6,Foglio2!AB:AB)</f>
        <v>0</v>
      </c>
      <c r="O6" s="53">
        <f>SUMIF(Foglio2!$B:$B,$B6,Foglio2!T:T)</f>
        <v>0</v>
      </c>
      <c r="P6" s="53">
        <f>SUMIF(Foglio2!$B:$B,$B6,Foglio2!V:V)</f>
        <v>0</v>
      </c>
      <c r="Q6" s="53">
        <f>SUMIF(Foglio2!$B:$B,$B6,Foglio2!X:X)</f>
        <v>0</v>
      </c>
      <c r="R6" s="53">
        <f>SUMIF(Foglio2!$B:$B,$B6,Foglio2!Z:Z)</f>
        <v>0</v>
      </c>
      <c r="S6" s="68">
        <f t="shared" ref="S6:S14" si="1">V6-U6-T6</f>
        <v>200</v>
      </c>
      <c r="T6" s="54">
        <v>12</v>
      </c>
      <c r="U6" s="54">
        <v>6</v>
      </c>
      <c r="V6" s="69">
        <f>Foglio3!AE10</f>
        <v>218</v>
      </c>
      <c r="W6" s="55">
        <f t="shared" ref="W6:W14" si="2">SUM(D6-S6)</f>
        <v>-4.5</v>
      </c>
      <c r="X6" s="55">
        <f t="shared" ref="X6:X14" si="3">SUM(E6-T6)</f>
        <v>4</v>
      </c>
      <c r="Y6" s="55">
        <f t="shared" ref="Y6:Y14" si="4">SUM(F6-U6)</f>
        <v>-3</v>
      </c>
      <c r="Z6" s="55">
        <f t="shared" ref="Z6:Z14" si="5">SUM(W6:Y6)</f>
        <v>-3.5</v>
      </c>
      <c r="AA6" s="31">
        <f>_xlfn.MAXIFS(Foglio2!$F:$F, Foglio2!$B:$B, $B6)</f>
        <v>85</v>
      </c>
      <c r="AB6" s="31">
        <f>_xlfn.MINIFS(Foglio2!$F:$F, Foglio2!$B:$B, $B6)</f>
        <v>59</v>
      </c>
      <c r="AC6" s="5"/>
      <c r="AD6" s="5"/>
    </row>
    <row r="7" spans="1:30" ht="34.799999999999997" customHeight="1" x14ac:dyDescent="0.3">
      <c r="A7">
        <v>3</v>
      </c>
      <c r="B7" t="s">
        <v>49</v>
      </c>
      <c r="C7" t="s">
        <v>101</v>
      </c>
      <c r="D7" s="53">
        <f>SUMIF(Foglio2!$B:$B,$B7,Foglio2!C:C)</f>
        <v>205.5</v>
      </c>
      <c r="E7" s="53">
        <f>SUMIF(Foglio2!$B:$B,$B7,Foglio2!D:D)</f>
        <v>10</v>
      </c>
      <c r="F7" s="53">
        <f>SUMIF(Foglio2!$B:$B,$B7,Foglio2!E:E)</f>
        <v>6</v>
      </c>
      <c r="G7" s="53">
        <f t="shared" si="0"/>
        <v>221.5</v>
      </c>
      <c r="H7" s="53">
        <f>SUMIF(Foglio2!$B:$B,$B7,Foglio2!G:G)</f>
        <v>7</v>
      </c>
      <c r="I7" s="53">
        <f>SUMIF(Foglio2!$B:$B,$B7,Foglio2!H:H)</f>
        <v>6</v>
      </c>
      <c r="J7" s="53">
        <f>SUMIF(Foglio2!$B:$B,$B7,Foglio2!J:J)</f>
        <v>5</v>
      </c>
      <c r="K7" s="53">
        <f>SUMIF(Foglio2!$B:$B,$B7,Foglio2!N:N)</f>
        <v>2</v>
      </c>
      <c r="L7" s="53">
        <f>SUMIF(Foglio2!$B:$B,$B7,Foglio2!P:P)</f>
        <v>2</v>
      </c>
      <c r="M7" s="53">
        <f>SUMIF(Foglio2!$B:$B,$B7,Foglio2!R:R)</f>
        <v>0</v>
      </c>
      <c r="N7" s="53">
        <f>SUMIF(Foglio2!$B:$B,$B7,Foglio2!AB:AB)</f>
        <v>0</v>
      </c>
      <c r="O7" s="53">
        <f>SUMIF(Foglio2!$B:$B,$B7,Foglio2!T:T)</f>
        <v>0</v>
      </c>
      <c r="P7" s="53">
        <f>SUMIF(Foglio2!$B:$B,$B7,Foglio2!V:V)</f>
        <v>0</v>
      </c>
      <c r="Q7" s="53">
        <f>SUMIF(Foglio2!$B:$B,$B7,Foglio2!X:X)</f>
        <v>1</v>
      </c>
      <c r="R7" s="53">
        <f>SUMIF(Foglio2!$B:$B,$B7,Foglio2!Z:Z)</f>
        <v>0</v>
      </c>
      <c r="S7" s="68">
        <f t="shared" si="1"/>
        <v>214</v>
      </c>
      <c r="T7" s="54">
        <v>20.5</v>
      </c>
      <c r="U7" s="54">
        <v>7</v>
      </c>
      <c r="V7" s="69">
        <f>Foglio3!O10</f>
        <v>241.5</v>
      </c>
      <c r="W7" s="55">
        <f t="shared" si="2"/>
        <v>-8.5</v>
      </c>
      <c r="X7" s="55">
        <f t="shared" si="3"/>
        <v>-10.5</v>
      </c>
      <c r="Y7" s="55">
        <f t="shared" si="4"/>
        <v>-1</v>
      </c>
      <c r="Z7" s="55">
        <f t="shared" si="5"/>
        <v>-20</v>
      </c>
      <c r="AA7" s="31">
        <f>_xlfn.MAXIFS(Foglio2!$F:$F, Foglio2!$B:$B, $B7)</f>
        <v>84</v>
      </c>
      <c r="AB7" s="31">
        <f>_xlfn.MINIFS(Foglio2!$F:$F, Foglio2!$B:$B, $B7)</f>
        <v>65.5</v>
      </c>
      <c r="AC7" s="5"/>
      <c r="AD7" s="5"/>
    </row>
    <row r="8" spans="1:30" ht="34.799999999999997" customHeight="1" x14ac:dyDescent="0.3">
      <c r="A8">
        <v>4</v>
      </c>
      <c r="B8" t="s">
        <v>50</v>
      </c>
      <c r="C8" t="s">
        <v>102</v>
      </c>
      <c r="D8" s="53">
        <f>SUMIF(Foglio2!$B:$B,$B8,Foglio2!C:C)</f>
        <v>202.5</v>
      </c>
      <c r="E8" s="53">
        <f>SUMIF(Foglio2!$B:$B,$B8,Foglio2!D:D)</f>
        <v>12.5</v>
      </c>
      <c r="F8" s="53">
        <f>SUMIF(Foglio2!$B:$B,$B8,Foglio2!E:E)</f>
        <v>0</v>
      </c>
      <c r="G8" s="53">
        <f t="shared" si="0"/>
        <v>215</v>
      </c>
      <c r="H8" s="53">
        <f>SUMIF(Foglio2!$B:$B,$B8,Foglio2!G:G)</f>
        <v>6</v>
      </c>
      <c r="I8" s="53">
        <f>SUMIF(Foglio2!$B:$B,$B8,Foglio2!H:H)</f>
        <v>5</v>
      </c>
      <c r="J8" s="53">
        <f>SUMIF(Foglio2!$B:$B,$B8,Foglio2!J:J)</f>
        <v>5</v>
      </c>
      <c r="K8" s="53">
        <f>SUMIF(Foglio2!$B:$B,$B8,Foglio2!N:N)</f>
        <v>2</v>
      </c>
      <c r="L8" s="53">
        <f>SUMIF(Foglio2!$B:$B,$B8,Foglio2!P:P)</f>
        <v>5</v>
      </c>
      <c r="M8" s="53">
        <f>SUMIF(Foglio2!$B:$B,$B8,Foglio2!R:R)</f>
        <v>0</v>
      </c>
      <c r="N8" s="53">
        <f>SUMIF(Foglio2!$B:$B,$B8,Foglio2!AB:AB)</f>
        <v>1</v>
      </c>
      <c r="O8" s="53">
        <f>SUMIF(Foglio2!$B:$B,$B8,Foglio2!T:T)</f>
        <v>0</v>
      </c>
      <c r="P8" s="53">
        <f>SUMIF(Foglio2!$B:$B,$B8,Foglio2!V:V)</f>
        <v>0</v>
      </c>
      <c r="Q8" s="53">
        <f>SUMIF(Foglio2!$B:$B,$B8,Foglio2!X:X)</f>
        <v>0</v>
      </c>
      <c r="R8" s="53">
        <f>SUMIF(Foglio2!$B:$B,$B8,Foglio2!Z:Z)</f>
        <v>0</v>
      </c>
      <c r="S8" s="68">
        <f t="shared" si="1"/>
        <v>216.5</v>
      </c>
      <c r="T8" s="54">
        <v>9</v>
      </c>
      <c r="U8" s="54">
        <v>3</v>
      </c>
      <c r="V8" s="69">
        <f>Foglio3!K10</f>
        <v>228.5</v>
      </c>
      <c r="W8" s="55">
        <f t="shared" si="2"/>
        <v>-14</v>
      </c>
      <c r="X8" s="55">
        <f t="shared" si="3"/>
        <v>3.5</v>
      </c>
      <c r="Y8" s="55">
        <f t="shared" si="4"/>
        <v>-3</v>
      </c>
      <c r="Z8" s="55">
        <f t="shared" si="5"/>
        <v>-13.5</v>
      </c>
      <c r="AA8" s="31">
        <f>_xlfn.MAXIFS(Foglio2!$F:$F, Foglio2!$B:$B, $B8)</f>
        <v>80.5</v>
      </c>
      <c r="AB8" s="31">
        <f>_xlfn.MINIFS(Foglio2!$F:$F, Foglio2!$B:$B, $B8)</f>
        <v>62.5</v>
      </c>
      <c r="AC8" s="5"/>
      <c r="AD8" s="5"/>
    </row>
    <row r="9" spans="1:30" ht="34.799999999999997" customHeight="1" x14ac:dyDescent="0.3">
      <c r="A9">
        <v>5</v>
      </c>
      <c r="B9" t="s">
        <v>51</v>
      </c>
      <c r="C9" t="s">
        <v>97</v>
      </c>
      <c r="D9" s="53">
        <f>SUMIF(Foglio2!$B:$B,$B9,Foglio2!C:C)</f>
        <v>200.5</v>
      </c>
      <c r="E9" s="53">
        <f>SUMIF(Foglio2!$B:$B,$B9,Foglio2!D:D)</f>
        <v>36.5</v>
      </c>
      <c r="F9" s="53">
        <f>SUMIF(Foglio2!$B:$B,$B9,Foglio2!E:E)</f>
        <v>0</v>
      </c>
      <c r="G9" s="53">
        <f t="shared" si="0"/>
        <v>237</v>
      </c>
      <c r="H9" s="53">
        <f>SUMIF(Foglio2!$B:$B,$B9,Foglio2!G:G)</f>
        <v>7</v>
      </c>
      <c r="I9" s="53">
        <f>SUMIF(Foglio2!$B:$B,$B9,Foglio2!H:H)</f>
        <v>8</v>
      </c>
      <c r="J9" s="53">
        <f>SUMIF(Foglio2!$B:$B,$B9,Foglio2!J:J)</f>
        <v>12</v>
      </c>
      <c r="K9" s="53">
        <f>SUMIF(Foglio2!$B:$B,$B9,Foglio2!N:N)</f>
        <v>3</v>
      </c>
      <c r="L9" s="53">
        <f>SUMIF(Foglio2!$B:$B,$B9,Foglio2!P:P)</f>
        <v>1</v>
      </c>
      <c r="M9" s="53">
        <f>SUMIF(Foglio2!$B:$B,$B9,Foglio2!R:R)</f>
        <v>1</v>
      </c>
      <c r="N9" s="53">
        <f>SUMIF(Foglio2!$B:$B,$B9,Foglio2!AB:AB)</f>
        <v>1</v>
      </c>
      <c r="O9" s="53">
        <f>SUMIF(Foglio2!$B:$B,$B9,Foglio2!T:T)</f>
        <v>0</v>
      </c>
      <c r="P9" s="53">
        <f>SUMIF(Foglio2!$B:$B,$B9,Foglio2!V:V)</f>
        <v>0</v>
      </c>
      <c r="Q9" s="53">
        <f>SUMIF(Foglio2!$B:$B,$B9,Foglio2!X:X)</f>
        <v>0</v>
      </c>
      <c r="R9" s="53">
        <f>SUMIF(Foglio2!$B:$B,$B9,Foglio2!Z:Z)</f>
        <v>0</v>
      </c>
      <c r="S9" s="68">
        <f t="shared" si="1"/>
        <v>231</v>
      </c>
      <c r="T9" s="54">
        <v>27.5</v>
      </c>
      <c r="U9" s="54">
        <v>3</v>
      </c>
      <c r="V9" s="69">
        <f>Foglio3!S10</f>
        <v>261.5</v>
      </c>
      <c r="W9" s="55">
        <f t="shared" si="2"/>
        <v>-30.5</v>
      </c>
      <c r="X9" s="55">
        <f t="shared" si="3"/>
        <v>9</v>
      </c>
      <c r="Y9" s="55">
        <f t="shared" si="4"/>
        <v>-3</v>
      </c>
      <c r="Z9" s="55">
        <f t="shared" si="5"/>
        <v>-24.5</v>
      </c>
      <c r="AA9" s="31">
        <f>_xlfn.MAXIFS(Foglio2!$F:$F, Foglio2!$B:$B, $B9)</f>
        <v>85</v>
      </c>
      <c r="AB9" s="31">
        <f>_xlfn.MINIFS(Foglio2!$F:$F, Foglio2!$B:$B, $B9)</f>
        <v>76</v>
      </c>
      <c r="AC9" s="5"/>
      <c r="AD9" s="5"/>
    </row>
    <row r="10" spans="1:30" ht="34.799999999999997" customHeight="1" x14ac:dyDescent="0.3">
      <c r="A10">
        <v>6</v>
      </c>
      <c r="B10" t="s">
        <v>52</v>
      </c>
      <c r="C10" t="s">
        <v>98</v>
      </c>
      <c r="D10" s="53">
        <f>SUMIF(Foglio2!$B:$B,$B10,Foglio2!C:C)</f>
        <v>199</v>
      </c>
      <c r="E10" s="53">
        <f>SUMIF(Foglio2!$B:$B,$B10,Foglio2!D:D)</f>
        <v>10.5</v>
      </c>
      <c r="F10" s="53">
        <f>SUMIF(Foglio2!$B:$B,$B10,Foglio2!E:E)</f>
        <v>2</v>
      </c>
      <c r="G10" s="53">
        <f t="shared" si="0"/>
        <v>211.5</v>
      </c>
      <c r="H10" s="53">
        <f>SUMIF(Foglio2!$B:$B,$B10,Foglio2!G:G)</f>
        <v>0</v>
      </c>
      <c r="I10" s="53">
        <f>SUMIF(Foglio2!$B:$B,$B10,Foglio2!H:H)</f>
        <v>4</v>
      </c>
      <c r="J10" s="53">
        <f>SUMIF(Foglio2!$B:$B,$B10,Foglio2!J:J)</f>
        <v>4</v>
      </c>
      <c r="K10" s="53">
        <f>SUMIF(Foglio2!$B:$B,$B10,Foglio2!N:N)</f>
        <v>2</v>
      </c>
      <c r="L10" s="53">
        <f>SUMIF(Foglio2!$B:$B,$B10,Foglio2!P:P)</f>
        <v>5</v>
      </c>
      <c r="M10" s="53">
        <f>SUMIF(Foglio2!$B:$B,$B10,Foglio2!R:R)</f>
        <v>0</v>
      </c>
      <c r="N10" s="53">
        <f>SUMIF(Foglio2!$B:$B,$B10,Foglio2!AB:AB)</f>
        <v>0</v>
      </c>
      <c r="O10" s="53">
        <f>SUMIF(Foglio2!$B:$B,$B10,Foglio2!T:T)</f>
        <v>0</v>
      </c>
      <c r="P10" s="53">
        <f>SUMIF(Foglio2!$B:$B,$B10,Foglio2!V:V)</f>
        <v>1</v>
      </c>
      <c r="Q10" s="53">
        <f>SUMIF(Foglio2!$B:$B,$B10,Foglio2!X:X)</f>
        <v>0</v>
      </c>
      <c r="R10" s="53">
        <f>SUMIF(Foglio2!$B:$B,$B10,Foglio2!Z:Z)</f>
        <v>0</v>
      </c>
      <c r="S10" s="68">
        <f t="shared" si="1"/>
        <v>213.5</v>
      </c>
      <c r="T10" s="54">
        <v>16.5</v>
      </c>
      <c r="U10" s="54">
        <v>6</v>
      </c>
      <c r="V10" s="69">
        <f>Foglio3!G10</f>
        <v>236</v>
      </c>
      <c r="W10" s="55">
        <f t="shared" si="2"/>
        <v>-14.5</v>
      </c>
      <c r="X10" s="55">
        <f t="shared" si="3"/>
        <v>-6</v>
      </c>
      <c r="Y10" s="55">
        <f t="shared" si="4"/>
        <v>-4</v>
      </c>
      <c r="Z10" s="55">
        <f t="shared" si="5"/>
        <v>-24.5</v>
      </c>
      <c r="AA10" s="31">
        <f>_xlfn.MAXIFS(Foglio2!$F:$F, Foglio2!$B:$B, $B10)</f>
        <v>73.5</v>
      </c>
      <c r="AB10" s="31">
        <f>_xlfn.MINIFS(Foglio2!$F:$F, Foglio2!$B:$B, $B10)</f>
        <v>66.5</v>
      </c>
      <c r="AC10" s="5"/>
      <c r="AD10" s="5"/>
    </row>
    <row r="11" spans="1:30" ht="34.799999999999997" customHeight="1" x14ac:dyDescent="0.3">
      <c r="A11">
        <v>7</v>
      </c>
      <c r="B11" t="s">
        <v>53</v>
      </c>
      <c r="C11" t="s">
        <v>96</v>
      </c>
      <c r="D11" s="53">
        <f>SUMIF(Foglio2!$B:$B,$B11,Foglio2!C:C)</f>
        <v>196.5</v>
      </c>
      <c r="E11" s="53">
        <f>SUMIF(Foglio2!$B:$B,$B11,Foglio2!D:D)</f>
        <v>8.5</v>
      </c>
      <c r="F11" s="53">
        <f>SUMIF(Foglio2!$B:$B,$B11,Foglio2!E:E)</f>
        <v>0</v>
      </c>
      <c r="G11" s="53">
        <f t="shared" si="0"/>
        <v>205</v>
      </c>
      <c r="H11" s="53">
        <f>SUMIF(Foglio2!$B:$B,$B11,Foglio2!G:G)</f>
        <v>1</v>
      </c>
      <c r="I11" s="53">
        <f>SUMIF(Foglio2!$B:$B,$B11,Foglio2!H:H)</f>
        <v>3</v>
      </c>
      <c r="J11" s="53">
        <f>SUMIF(Foglio2!$B:$B,$B11,Foglio2!J:J)</f>
        <v>5</v>
      </c>
      <c r="K11" s="53">
        <f>SUMIF(Foglio2!$B:$B,$B11,Foglio2!N:N)</f>
        <v>1</v>
      </c>
      <c r="L11" s="53">
        <f>SUMIF(Foglio2!$B:$B,$B11,Foglio2!P:P)</f>
        <v>5</v>
      </c>
      <c r="M11" s="53">
        <f>SUMIF(Foglio2!$B:$B,$B11,Foglio2!R:R)</f>
        <v>0</v>
      </c>
      <c r="N11" s="53">
        <f>SUMIF(Foglio2!$B:$B,$B11,Foglio2!AB:AB)</f>
        <v>0</v>
      </c>
      <c r="O11" s="53">
        <f>SUMIF(Foglio2!$B:$B,$B11,Foglio2!T:T)</f>
        <v>0</v>
      </c>
      <c r="P11" s="53">
        <f>SUMIF(Foglio2!$B:$B,$B11,Foglio2!V:V)</f>
        <v>0</v>
      </c>
      <c r="Q11" s="53">
        <f>SUMIF(Foglio2!$B:$B,$B11,Foglio2!X:X)</f>
        <v>0</v>
      </c>
      <c r="R11" s="53">
        <f>SUMIF(Foglio2!$B:$B,$B11,Foglio2!Z:Z)</f>
        <v>0</v>
      </c>
      <c r="S11" s="68">
        <f t="shared" si="1"/>
        <v>203</v>
      </c>
      <c r="T11" s="54">
        <v>14</v>
      </c>
      <c r="U11" s="54">
        <v>3</v>
      </c>
      <c r="V11" s="69">
        <f>Foglio3!W10</f>
        <v>220</v>
      </c>
      <c r="W11" s="55">
        <f t="shared" si="2"/>
        <v>-6.5</v>
      </c>
      <c r="X11" s="55">
        <f t="shared" si="3"/>
        <v>-5.5</v>
      </c>
      <c r="Y11" s="55">
        <f t="shared" si="4"/>
        <v>-3</v>
      </c>
      <c r="Z11" s="55">
        <f t="shared" si="5"/>
        <v>-15</v>
      </c>
      <c r="AA11" s="31">
        <f>_xlfn.MAXIFS(Foglio2!$F:$F, Foglio2!$B:$B, $B11)</f>
        <v>76</v>
      </c>
      <c r="AB11" s="31">
        <f>_xlfn.MINIFS(Foglio2!$F:$F, Foglio2!$B:$B, $B11)</f>
        <v>60.5</v>
      </c>
      <c r="AC11" s="5"/>
      <c r="AD11" s="5"/>
    </row>
    <row r="12" spans="1:30" ht="34.799999999999997" customHeight="1" x14ac:dyDescent="0.3">
      <c r="A12">
        <v>8</v>
      </c>
      <c r="B12" t="s">
        <v>54</v>
      </c>
      <c r="C12" t="s">
        <v>103</v>
      </c>
      <c r="D12" s="53">
        <f>SUMIF(Foglio2!$B:$B,$B12,Foglio2!C:C)</f>
        <v>201.5</v>
      </c>
      <c r="E12" s="53">
        <f>SUMIF(Foglio2!$B:$B,$B12,Foglio2!D:D)</f>
        <v>13</v>
      </c>
      <c r="F12" s="53">
        <f>SUMIF(Foglio2!$B:$B,$B12,Foglio2!E:E)</f>
        <v>0</v>
      </c>
      <c r="G12" s="53">
        <f t="shared" si="0"/>
        <v>214.5</v>
      </c>
      <c r="H12" s="53">
        <f>SUMIF(Foglio2!$B:$B,$B12,Foglio2!G:G)</f>
        <v>4</v>
      </c>
      <c r="I12" s="53">
        <f>SUMIF(Foglio2!$B:$B,$B12,Foglio2!H:H)</f>
        <v>4</v>
      </c>
      <c r="J12" s="53">
        <f>SUMIF(Foglio2!$B:$B,$B12,Foglio2!J:J)</f>
        <v>4</v>
      </c>
      <c r="K12" s="53">
        <f>SUMIF(Foglio2!$B:$B,$B12,Foglio2!N:N)</f>
        <v>4</v>
      </c>
      <c r="L12" s="53">
        <f>SUMIF(Foglio2!$B:$B,$B12,Foglio2!P:P)</f>
        <v>4</v>
      </c>
      <c r="M12" s="53">
        <f>SUMIF(Foglio2!$B:$B,$B12,Foglio2!R:R)</f>
        <v>0</v>
      </c>
      <c r="N12" s="53">
        <f>SUMIF(Foglio2!$B:$B,$B12,Foglio2!AB:AB)</f>
        <v>1</v>
      </c>
      <c r="O12" s="53">
        <f>SUMIF(Foglio2!$B:$B,$B12,Foglio2!T:T)</f>
        <v>0</v>
      </c>
      <c r="P12" s="53">
        <f>SUMIF(Foglio2!$B:$B,$B12,Foglio2!V:V)</f>
        <v>0</v>
      </c>
      <c r="Q12" s="53">
        <f>SUMIF(Foglio2!$B:$B,$B12,Foglio2!X:X)</f>
        <v>0</v>
      </c>
      <c r="R12" s="53">
        <f>SUMIF(Foglio2!$B:$B,$B12,Foglio2!Z:Z)</f>
        <v>0</v>
      </c>
      <c r="S12" s="68">
        <f t="shared" si="1"/>
        <v>225</v>
      </c>
      <c r="T12" s="54">
        <v>3.5</v>
      </c>
      <c r="U12" s="54">
        <v>2</v>
      </c>
      <c r="V12" s="69">
        <f>Foglio3!AA10</f>
        <v>230.5</v>
      </c>
      <c r="W12" s="55">
        <f t="shared" si="2"/>
        <v>-23.5</v>
      </c>
      <c r="X12" s="55">
        <f t="shared" si="3"/>
        <v>9.5</v>
      </c>
      <c r="Y12" s="55">
        <f t="shared" si="4"/>
        <v>-2</v>
      </c>
      <c r="Z12" s="55">
        <f t="shared" si="5"/>
        <v>-16</v>
      </c>
      <c r="AA12" s="31">
        <f>_xlfn.MAXIFS(Foglio2!$F:$F, Foglio2!$B:$B, $B12)</f>
        <v>77.5</v>
      </c>
      <c r="AB12" s="31">
        <f>_xlfn.MINIFS(Foglio2!$F:$F, Foglio2!$B:$B, $B12)</f>
        <v>68</v>
      </c>
      <c r="AC12" s="5"/>
      <c r="AD12" s="5"/>
    </row>
    <row r="13" spans="1:30" ht="34.799999999999997" customHeight="1" x14ac:dyDescent="0.3">
      <c r="A13">
        <v>9</v>
      </c>
      <c r="B13" t="s">
        <v>55</v>
      </c>
      <c r="C13" t="s">
        <v>104</v>
      </c>
      <c r="D13" s="53">
        <f>SUMIF(Foglio2!$B:$B,$B13,Foglio2!C:C)</f>
        <v>200</v>
      </c>
      <c r="E13" s="53">
        <f>SUMIF(Foglio2!$B:$B,$B13,Foglio2!D:D)</f>
        <v>18.5</v>
      </c>
      <c r="F13" s="53">
        <f>SUMIF(Foglio2!$B:$B,$B13,Foglio2!E:E)</f>
        <v>0</v>
      </c>
      <c r="G13" s="53">
        <f t="shared" si="0"/>
        <v>218.5</v>
      </c>
      <c r="H13" s="53">
        <f>SUMIF(Foglio2!$B:$B,$B13,Foglio2!G:G)</f>
        <v>3</v>
      </c>
      <c r="I13" s="53">
        <f>SUMIF(Foglio2!$B:$B,$B13,Foglio2!H:H)</f>
        <v>5</v>
      </c>
      <c r="J13" s="53">
        <f>SUMIF(Foglio2!$B:$B,$B13,Foglio2!J:J)</f>
        <v>4</v>
      </c>
      <c r="K13" s="53">
        <f>SUMIF(Foglio2!$B:$B,$B13,Foglio2!N:N)</f>
        <v>5</v>
      </c>
      <c r="L13" s="53">
        <f>SUMIF(Foglio2!$B:$B,$B13,Foglio2!P:P)</f>
        <v>3</v>
      </c>
      <c r="M13" s="53">
        <f>SUMIF(Foglio2!$B:$B,$B13,Foglio2!R:R)</f>
        <v>0</v>
      </c>
      <c r="N13" s="53">
        <f>SUMIF(Foglio2!$B:$B,$B13,Foglio2!AB:AB)</f>
        <v>1</v>
      </c>
      <c r="O13" s="53">
        <f>SUMIF(Foglio2!$B:$B,$B13,Foglio2!T:T)</f>
        <v>0</v>
      </c>
      <c r="P13" s="53">
        <f>SUMIF(Foglio2!$B:$B,$B13,Foglio2!V:V)</f>
        <v>0</v>
      </c>
      <c r="Q13" s="53">
        <f>SUMIF(Foglio2!$B:$B,$B13,Foglio2!X:X)</f>
        <v>0</v>
      </c>
      <c r="R13" s="53">
        <f>SUMIF(Foglio2!$B:$B,$B13,Foglio2!Z:Z)</f>
        <v>1</v>
      </c>
      <c r="S13" s="68">
        <f t="shared" si="1"/>
        <v>221</v>
      </c>
      <c r="T13" s="54">
        <v>18</v>
      </c>
      <c r="U13" s="54">
        <v>4</v>
      </c>
      <c r="V13" s="69">
        <f>Foglio3!AI10</f>
        <v>243</v>
      </c>
      <c r="W13" s="55">
        <f t="shared" si="2"/>
        <v>-21</v>
      </c>
      <c r="X13" s="55">
        <f t="shared" si="3"/>
        <v>0.5</v>
      </c>
      <c r="Y13" s="55">
        <f t="shared" si="4"/>
        <v>-4</v>
      </c>
      <c r="Z13" s="55">
        <f t="shared" si="5"/>
        <v>-24.5</v>
      </c>
      <c r="AA13" s="31">
        <f>_xlfn.MAXIFS(Foglio2!$F:$F, Foglio2!$B:$B, $B13)</f>
        <v>85.5</v>
      </c>
      <c r="AB13" s="31">
        <f>_xlfn.MINIFS(Foglio2!$F:$F, Foglio2!$B:$B, $B13)</f>
        <v>63.5</v>
      </c>
      <c r="AC13" s="5"/>
      <c r="AD13" s="5"/>
    </row>
    <row r="14" spans="1:30" ht="34.799999999999997" customHeight="1" x14ac:dyDescent="0.3">
      <c r="A14">
        <v>10</v>
      </c>
      <c r="B14" t="s">
        <v>56</v>
      </c>
      <c r="C14" t="s">
        <v>105</v>
      </c>
      <c r="D14" s="53">
        <f>SUMIF(Foglio2!$B:$B,$B14,Foglio2!C:C)</f>
        <v>200</v>
      </c>
      <c r="E14" s="53">
        <f>SUMIF(Foglio2!$B:$B,$B14,Foglio2!D:D)</f>
        <v>7</v>
      </c>
      <c r="F14" s="53">
        <f>SUMIF(Foglio2!$B:$B,$B14,Foglio2!E:E)</f>
        <v>4</v>
      </c>
      <c r="G14" s="53">
        <f t="shared" si="0"/>
        <v>211</v>
      </c>
      <c r="H14" s="53">
        <f>SUMIF(Foglio2!$B:$B,$B14,Foglio2!G:G)</f>
        <v>3</v>
      </c>
      <c r="I14" s="53">
        <f>SUMIF(Foglio2!$B:$B,$B14,Foglio2!H:H)</f>
        <v>4</v>
      </c>
      <c r="J14" s="53">
        <f>SUMIF(Foglio2!$B:$B,$B14,Foglio2!J:J)</f>
        <v>2</v>
      </c>
      <c r="K14" s="53">
        <f>SUMIF(Foglio2!$B:$B,$B14,Foglio2!N:N)</f>
        <v>8</v>
      </c>
      <c r="L14" s="53">
        <f>SUMIF(Foglio2!$B:$B,$B14,Foglio2!P:P)</f>
        <v>2</v>
      </c>
      <c r="M14" s="53">
        <f>SUMIF(Foglio2!$B:$B,$B14,Foglio2!R:R)</f>
        <v>0</v>
      </c>
      <c r="N14" s="53">
        <f>SUMIF(Foglio2!$B:$B,$B14,Foglio2!AB:AB)</f>
        <v>0</v>
      </c>
      <c r="O14" s="53">
        <f>SUMIF(Foglio2!$B:$B,$B14,Foglio2!T:T)</f>
        <v>0</v>
      </c>
      <c r="P14" s="53">
        <f>SUMIF(Foglio2!$B:$B,$B14,Foglio2!V:V)</f>
        <v>0</v>
      </c>
      <c r="Q14" s="53">
        <f>SUMIF(Foglio2!$B:$B,$B14,Foglio2!X:X)</f>
        <v>0</v>
      </c>
      <c r="R14" s="53">
        <f>SUMIF(Foglio2!$B:$B,$B14,Foglio2!Z:Z)</f>
        <v>0</v>
      </c>
      <c r="S14" s="68">
        <f t="shared" si="1"/>
        <v>216.5</v>
      </c>
      <c r="T14" s="54">
        <v>19</v>
      </c>
      <c r="U14" s="54">
        <v>3</v>
      </c>
      <c r="V14" s="69">
        <f>Foglio3!AM10</f>
        <v>238.5</v>
      </c>
      <c r="W14" s="55">
        <f t="shared" si="2"/>
        <v>-16.5</v>
      </c>
      <c r="X14" s="55">
        <f t="shared" si="3"/>
        <v>-12</v>
      </c>
      <c r="Y14" s="55">
        <f t="shared" si="4"/>
        <v>1</v>
      </c>
      <c r="Z14" s="55">
        <f t="shared" si="5"/>
        <v>-27.5</v>
      </c>
      <c r="AA14" s="31">
        <f>_xlfn.MAXIFS(Foglio2!$F:$F, Foglio2!$B:$B, $B14)</f>
        <v>78</v>
      </c>
      <c r="AB14" s="31">
        <f>_xlfn.MINIFS(Foglio2!$F:$F, Foglio2!$B:$B, $B14)</f>
        <v>65</v>
      </c>
      <c r="AC14" s="5"/>
      <c r="AD14" s="5"/>
    </row>
    <row r="15" spans="1:30" x14ac:dyDescent="0.3">
      <c r="D15" s="7"/>
      <c r="E15" s="7"/>
      <c r="F15" s="7"/>
      <c r="G15" s="7"/>
      <c r="H15" s="7"/>
    </row>
    <row r="16" spans="1:30" x14ac:dyDescent="0.3">
      <c r="D16" s="7"/>
      <c r="E16" s="7"/>
      <c r="F16" s="7"/>
      <c r="G16" s="7"/>
      <c r="H16" s="7"/>
    </row>
    <row r="17" spans="1:21" x14ac:dyDescent="0.3">
      <c r="D17" s="74" t="s">
        <v>5</v>
      </c>
      <c r="E17" s="74"/>
      <c r="F17" s="74"/>
      <c r="G17" s="74"/>
      <c r="H17" s="74"/>
      <c r="I17" s="74" t="s">
        <v>2</v>
      </c>
      <c r="J17" s="74"/>
      <c r="K17" s="74"/>
      <c r="L17" s="74"/>
      <c r="M17" s="74"/>
      <c r="N17" s="74"/>
      <c r="O17" s="74"/>
      <c r="P17" s="74"/>
      <c r="Q17" s="74"/>
      <c r="R17" s="10"/>
      <c r="S17" s="10"/>
      <c r="T17" s="10"/>
      <c r="U17" s="10"/>
    </row>
    <row r="18" spans="1:21" x14ac:dyDescent="0.3">
      <c r="B18" t="s">
        <v>0</v>
      </c>
      <c r="D18" s="3" t="s">
        <v>1</v>
      </c>
      <c r="E18" s="3" t="s">
        <v>2</v>
      </c>
      <c r="F18" s="3" t="s">
        <v>3</v>
      </c>
      <c r="G18" s="3" t="s">
        <v>4</v>
      </c>
      <c r="H18" s="3" t="s">
        <v>6</v>
      </c>
      <c r="I18" s="4" t="s">
        <v>7</v>
      </c>
      <c r="J18" s="4"/>
      <c r="K18" s="4" t="s">
        <v>8</v>
      </c>
      <c r="L18" s="4" t="s">
        <v>9</v>
      </c>
      <c r="M18" s="4" t="s">
        <v>10</v>
      </c>
      <c r="N18" s="4" t="s">
        <v>11</v>
      </c>
      <c r="O18" s="4" t="s">
        <v>12</v>
      </c>
      <c r="P18" s="4" t="s">
        <v>13</v>
      </c>
      <c r="Q18" s="4" t="s">
        <v>14</v>
      </c>
      <c r="R18" s="10"/>
      <c r="S18" s="10"/>
      <c r="T18" s="10"/>
      <c r="U18" s="10"/>
    </row>
    <row r="19" spans="1:21" x14ac:dyDescent="0.3">
      <c r="D19" s="3"/>
      <c r="E19" s="3"/>
      <c r="F19" s="3"/>
      <c r="G19" s="3"/>
      <c r="H19" s="3"/>
      <c r="I19" s="5"/>
      <c r="J19" s="5"/>
      <c r="K19" s="5"/>
      <c r="L19" s="5"/>
      <c r="M19" s="5"/>
      <c r="N19" s="5"/>
      <c r="O19" s="5"/>
      <c r="P19" s="5"/>
      <c r="Q19" s="5"/>
      <c r="R19" s="14"/>
      <c r="S19" s="14"/>
      <c r="T19" s="14"/>
      <c r="U19" s="14"/>
    </row>
    <row r="20" spans="1:21" x14ac:dyDescent="0.3">
      <c r="A20">
        <v>1</v>
      </c>
      <c r="B20" t="s">
        <v>47</v>
      </c>
      <c r="D20" s="3"/>
      <c r="E20" s="3"/>
      <c r="F20" s="3"/>
      <c r="G20" s="3"/>
      <c r="H20" s="3"/>
      <c r="I20" s="3">
        <f>SUMIF(Foglio2!$B:$B,$B20,Foglio2!I:I)</f>
        <v>0</v>
      </c>
      <c r="J20" s="3"/>
      <c r="K20" s="3">
        <f>SUMIF(Foglio2!$B:$B,$B20,Foglio2!O:O)</f>
        <v>0</v>
      </c>
      <c r="L20" s="5"/>
      <c r="M20" s="5"/>
      <c r="N20" s="5"/>
      <c r="O20" s="5"/>
      <c r="P20" s="5"/>
      <c r="Q20" s="5"/>
      <c r="R20" s="14"/>
      <c r="S20" s="14"/>
      <c r="T20" s="14"/>
      <c r="U20" s="14"/>
    </row>
    <row r="21" spans="1:21" x14ac:dyDescent="0.3">
      <c r="A21">
        <v>2</v>
      </c>
      <c r="B21" t="s">
        <v>48</v>
      </c>
      <c r="D21" s="3"/>
      <c r="E21" s="3"/>
      <c r="F21" s="3"/>
      <c r="G21" s="3"/>
      <c r="H21" s="3"/>
      <c r="I21" s="3">
        <f>SUMIF(Foglio2!$B:$B,$B21,Foglio2!I:I)</f>
        <v>7</v>
      </c>
      <c r="J21" s="3"/>
      <c r="K21" s="3">
        <f>SUMIF(Foglio2!$B:$B,$B21,Foglio2!O:O)</f>
        <v>2</v>
      </c>
      <c r="L21" s="5"/>
      <c r="M21" s="5"/>
      <c r="N21" s="5"/>
      <c r="O21" s="5"/>
      <c r="P21" s="5"/>
      <c r="Q21" s="5"/>
      <c r="R21" s="14"/>
      <c r="S21" s="14"/>
      <c r="T21" s="14"/>
      <c r="U21" s="14"/>
    </row>
    <row r="22" spans="1:21" x14ac:dyDescent="0.3">
      <c r="A22">
        <v>3</v>
      </c>
      <c r="B22" t="s">
        <v>49</v>
      </c>
      <c r="D22" s="3"/>
      <c r="E22" s="3"/>
      <c r="F22" s="3"/>
      <c r="G22" s="3"/>
      <c r="H22" s="3"/>
      <c r="I22" s="3">
        <f>SUMIF(Foglio2!$B:$B,$B22,Foglio2!I:I)</f>
        <v>1</v>
      </c>
      <c r="J22" s="3"/>
      <c r="K22" s="3">
        <f>SUMIF(Foglio2!$B:$B,$B22,Foglio2!O:O)</f>
        <v>1</v>
      </c>
      <c r="L22" s="5"/>
      <c r="M22" s="5"/>
      <c r="N22" s="5"/>
      <c r="O22" s="5"/>
      <c r="P22" s="5"/>
      <c r="Q22" s="5"/>
      <c r="R22" s="14"/>
      <c r="S22" s="14"/>
      <c r="T22" s="14"/>
      <c r="U22" s="14"/>
    </row>
    <row r="23" spans="1:21" x14ac:dyDescent="0.3">
      <c r="A23">
        <v>4</v>
      </c>
      <c r="B23" t="s">
        <v>50</v>
      </c>
      <c r="D23" s="3"/>
      <c r="E23" s="3"/>
      <c r="F23" s="3"/>
      <c r="G23" s="3"/>
      <c r="H23" s="3"/>
      <c r="I23" s="3">
        <f>SUMIF(Foglio2!$B:$B,$B23,Foglio2!I:I)</f>
        <v>4</v>
      </c>
      <c r="J23" s="3"/>
      <c r="K23" s="3">
        <f>SUMIF(Foglio2!$B:$B,$B23,Foglio2!O:O)</f>
        <v>3</v>
      </c>
      <c r="L23" s="5"/>
      <c r="M23" s="5"/>
      <c r="N23" s="5"/>
      <c r="O23" s="5"/>
      <c r="P23" s="5"/>
      <c r="Q23" s="5"/>
      <c r="R23" s="14"/>
      <c r="S23" s="14"/>
      <c r="T23" s="14"/>
      <c r="U23" s="14"/>
    </row>
    <row r="24" spans="1:21" x14ac:dyDescent="0.3">
      <c r="A24">
        <v>5</v>
      </c>
      <c r="B24" t="s">
        <v>51</v>
      </c>
      <c r="D24" s="3"/>
      <c r="E24" s="3"/>
      <c r="F24" s="3"/>
      <c r="G24" s="3"/>
      <c r="H24" s="3"/>
      <c r="I24" s="3">
        <f>SUMIF(Foglio2!$B:$B,$B24,Foglio2!I:I)</f>
        <v>5</v>
      </c>
      <c r="J24" s="3"/>
      <c r="K24" s="3">
        <f>SUMIF(Foglio2!$B:$B,$B24,Foglio2!O:O)</f>
        <v>3</v>
      </c>
      <c r="L24" s="5"/>
      <c r="M24" s="5"/>
      <c r="N24" s="5"/>
      <c r="O24" s="5"/>
      <c r="P24" s="5"/>
      <c r="Q24" s="5"/>
      <c r="R24" s="14"/>
      <c r="S24" s="14"/>
      <c r="T24" s="14"/>
      <c r="U24" s="14"/>
    </row>
    <row r="25" spans="1:21" x14ac:dyDescent="0.3">
      <c r="A25">
        <v>6</v>
      </c>
      <c r="B25" t="s">
        <v>52</v>
      </c>
      <c r="D25" s="3"/>
      <c r="E25" s="3"/>
      <c r="F25" s="3"/>
      <c r="G25" s="3"/>
      <c r="H25" s="3"/>
      <c r="I25" s="3">
        <f>SUMIF(Foglio2!$B:$B,$B25,Foglio2!I:I)</f>
        <v>9</v>
      </c>
      <c r="J25" s="3"/>
      <c r="K25" s="3">
        <f>SUMIF(Foglio2!$B:$B,$B25,Foglio2!O:O)</f>
        <v>6</v>
      </c>
      <c r="L25" s="5"/>
      <c r="M25" s="5"/>
      <c r="N25" s="5"/>
      <c r="O25" s="5"/>
      <c r="P25" s="5"/>
      <c r="Q25" s="5"/>
      <c r="R25" s="14"/>
      <c r="S25" s="14"/>
      <c r="T25" s="14"/>
      <c r="U25" s="14"/>
    </row>
    <row r="26" spans="1:21" x14ac:dyDescent="0.3">
      <c r="A26">
        <v>7</v>
      </c>
      <c r="B26" t="s">
        <v>53</v>
      </c>
      <c r="D26" s="3"/>
      <c r="E26" s="3"/>
      <c r="F26" s="3"/>
      <c r="G26" s="3"/>
      <c r="H26" s="3"/>
      <c r="I26" s="3">
        <f>SUMIF(Foglio2!$B:$B,$B26,Foglio2!I:I)</f>
        <v>6</v>
      </c>
      <c r="J26" s="3"/>
      <c r="K26" s="3">
        <f>SUMIF(Foglio2!$B:$B,$B26,Foglio2!O:O)</f>
        <v>0</v>
      </c>
      <c r="L26" s="5"/>
      <c r="M26" s="5"/>
      <c r="N26" s="5"/>
      <c r="O26" s="5"/>
      <c r="P26" s="5"/>
      <c r="Q26" s="5"/>
      <c r="R26" s="14"/>
      <c r="S26" s="14"/>
      <c r="T26" s="14"/>
      <c r="U26" s="14"/>
    </row>
    <row r="27" spans="1:21" x14ac:dyDescent="0.3">
      <c r="A27">
        <v>8</v>
      </c>
      <c r="B27" t="s">
        <v>54</v>
      </c>
      <c r="D27" s="3"/>
      <c r="E27" s="3"/>
      <c r="F27" s="3"/>
      <c r="G27" s="3"/>
      <c r="H27" s="3"/>
      <c r="I27" s="3">
        <f>SUMIF(Foglio2!$B:$B,$B27,Foglio2!I:I)</f>
        <v>6</v>
      </c>
      <c r="J27" s="3"/>
      <c r="K27" s="3">
        <f>SUMIF(Foglio2!$B:$B,$B27,Foglio2!O:O)</f>
        <v>3</v>
      </c>
      <c r="L27" s="5"/>
      <c r="M27" s="5"/>
      <c r="N27" s="5"/>
      <c r="O27" s="5"/>
      <c r="P27" s="5"/>
      <c r="Q27" s="5"/>
      <c r="R27" s="14"/>
      <c r="S27" s="14"/>
      <c r="T27" s="14"/>
      <c r="U27" s="14"/>
    </row>
    <row r="28" spans="1:21" x14ac:dyDescent="0.3">
      <c r="A28">
        <v>9</v>
      </c>
      <c r="B28" t="s">
        <v>55</v>
      </c>
      <c r="D28" s="3"/>
      <c r="E28" s="3"/>
      <c r="F28" s="3"/>
      <c r="G28" s="3"/>
      <c r="H28" s="3"/>
      <c r="I28" s="3">
        <f>SUMIF(Foglio2!$B:$B,$B28,Foglio2!I:I)</f>
        <v>4</v>
      </c>
      <c r="J28" s="3"/>
      <c r="K28" s="3">
        <f>SUMIF(Foglio2!$B:$B,$B28,Foglio2!O:O)</f>
        <v>7</v>
      </c>
      <c r="L28" s="5"/>
      <c r="M28" s="5"/>
      <c r="N28" s="5"/>
      <c r="O28" s="5"/>
      <c r="P28" s="5"/>
      <c r="Q28" s="5"/>
      <c r="R28" s="14"/>
      <c r="S28" s="14"/>
      <c r="T28" s="14"/>
      <c r="U28" s="14"/>
    </row>
    <row r="29" spans="1:21" x14ac:dyDescent="0.3">
      <c r="A29">
        <v>10</v>
      </c>
      <c r="B29" t="s">
        <v>56</v>
      </c>
      <c r="D29" s="3"/>
      <c r="E29" s="3"/>
      <c r="F29" s="3"/>
      <c r="G29" s="3"/>
      <c r="H29" s="3"/>
      <c r="I29" s="3">
        <f>SUMIF(Foglio2!$B:$B,$B29,Foglio2!I:I)</f>
        <v>8</v>
      </c>
      <c r="J29" s="3"/>
      <c r="K29" s="3">
        <f>SUMIF(Foglio2!$B:$B,$B29,Foglio2!O:O)</f>
        <v>2</v>
      </c>
      <c r="L29" s="5"/>
      <c r="M29" s="5"/>
      <c r="N29" s="5"/>
      <c r="O29" s="5"/>
      <c r="P29" s="5"/>
      <c r="Q29" s="5"/>
      <c r="R29" s="14"/>
      <c r="S29" s="14"/>
      <c r="T29" s="14"/>
      <c r="U29" s="14"/>
    </row>
  </sheetData>
  <mergeCells count="4">
    <mergeCell ref="D2:H2"/>
    <mergeCell ref="D17:H17"/>
    <mergeCell ref="I17:Q17"/>
    <mergeCell ref="I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AB627-6540-418E-B379-25263DCE4DE8}">
  <sheetPr codeName="Foglio2"/>
  <dimension ref="A1:AF210"/>
  <sheetViews>
    <sheetView zoomScale="80" zoomScaleNormal="8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J33" sqref="J33"/>
    </sheetView>
  </sheetViews>
  <sheetFormatPr defaultRowHeight="14.4" x14ac:dyDescent="0.3"/>
  <cols>
    <col min="2" max="2" width="26.44140625" customWidth="1"/>
    <col min="30" max="30" width="9.77734375" customWidth="1"/>
  </cols>
  <sheetData>
    <row r="1" spans="1:32" ht="28.8" x14ac:dyDescent="0.3">
      <c r="A1" s="12" t="s">
        <v>65</v>
      </c>
      <c r="B1" s="12"/>
      <c r="C1" s="12" t="s">
        <v>23</v>
      </c>
      <c r="D1" s="12" t="s">
        <v>2</v>
      </c>
      <c r="E1" s="12" t="s">
        <v>24</v>
      </c>
      <c r="F1" s="12" t="s">
        <v>25</v>
      </c>
      <c r="G1" s="12" t="s">
        <v>26</v>
      </c>
      <c r="H1" s="12" t="s">
        <v>27</v>
      </c>
      <c r="I1" s="12" t="s">
        <v>28</v>
      </c>
      <c r="J1" s="12" t="s">
        <v>29</v>
      </c>
      <c r="K1" s="12" t="s">
        <v>30</v>
      </c>
      <c r="L1" s="12" t="s">
        <v>31</v>
      </c>
      <c r="M1" s="12" t="s">
        <v>32</v>
      </c>
      <c r="N1" s="12" t="s">
        <v>33</v>
      </c>
      <c r="O1" s="12" t="s">
        <v>34</v>
      </c>
      <c r="P1" s="12" t="s">
        <v>35</v>
      </c>
      <c r="Q1" s="12" t="s">
        <v>36</v>
      </c>
      <c r="R1" s="12" t="s">
        <v>37</v>
      </c>
      <c r="S1" s="12" t="s">
        <v>38</v>
      </c>
      <c r="T1" s="12" t="s">
        <v>39</v>
      </c>
      <c r="U1" s="12" t="s">
        <v>40</v>
      </c>
      <c r="V1" s="12" t="s">
        <v>13</v>
      </c>
      <c r="W1" s="12" t="s">
        <v>59</v>
      </c>
      <c r="X1" s="12" t="s">
        <v>41</v>
      </c>
      <c r="Y1" s="12" t="s">
        <v>42</v>
      </c>
      <c r="Z1" s="12" t="s">
        <v>43</v>
      </c>
      <c r="AA1" s="12" t="s">
        <v>44</v>
      </c>
      <c r="AB1" s="12" t="s">
        <v>45</v>
      </c>
      <c r="AC1" s="12" t="s">
        <v>46</v>
      </c>
      <c r="AD1" s="12" t="s">
        <v>92</v>
      </c>
      <c r="AE1" s="12" t="s">
        <v>93</v>
      </c>
      <c r="AF1" s="12" t="s">
        <v>94</v>
      </c>
    </row>
    <row r="2" spans="1:32" x14ac:dyDescent="0.3">
      <c r="A2" s="11">
        <v>1</v>
      </c>
      <c r="B2" s="34" t="s">
        <v>60</v>
      </c>
      <c r="C2" s="32">
        <v>71.5</v>
      </c>
      <c r="D2" s="32">
        <v>12.5</v>
      </c>
      <c r="E2" s="32">
        <v>2</v>
      </c>
      <c r="F2" s="32">
        <f>SUM(C2:E2)</f>
        <v>86</v>
      </c>
      <c r="G2" s="32">
        <v>3</v>
      </c>
      <c r="H2" s="32">
        <v>4</v>
      </c>
      <c r="I2" s="32">
        <v>1</v>
      </c>
      <c r="J2" s="32">
        <v>4</v>
      </c>
      <c r="K2" s="32">
        <v>1</v>
      </c>
      <c r="L2" s="32">
        <v>2</v>
      </c>
      <c r="M2" s="32">
        <v>1</v>
      </c>
      <c r="N2" s="32">
        <v>1</v>
      </c>
      <c r="O2" s="32">
        <v>1</v>
      </c>
      <c r="P2" s="32">
        <v>1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32">
        <v>0</v>
      </c>
      <c r="AB2" s="32">
        <f>IF(L2=0,1,0)</f>
        <v>0</v>
      </c>
      <c r="AC2" s="32">
        <f>IF(M2=0,1,0)</f>
        <v>0</v>
      </c>
    </row>
    <row r="3" spans="1:32" x14ac:dyDescent="0.3">
      <c r="A3" s="11">
        <v>1</v>
      </c>
      <c r="B3" s="34" t="s">
        <v>48</v>
      </c>
      <c r="C3" s="32">
        <v>68.5</v>
      </c>
      <c r="D3" s="32">
        <v>2</v>
      </c>
      <c r="E3" s="32">
        <v>0</v>
      </c>
      <c r="F3" s="32">
        <f t="shared" ref="F3:F66" si="0">SUM(C3:E3)</f>
        <v>70.5</v>
      </c>
      <c r="G3" s="32">
        <v>0</v>
      </c>
      <c r="H3" s="32">
        <v>1</v>
      </c>
      <c r="I3" s="32">
        <v>4</v>
      </c>
      <c r="J3" s="32">
        <v>1</v>
      </c>
      <c r="K3" s="32">
        <v>2</v>
      </c>
      <c r="L3" s="32">
        <v>2</v>
      </c>
      <c r="M3" s="32">
        <v>1</v>
      </c>
      <c r="N3" s="32">
        <v>0</v>
      </c>
      <c r="O3" s="32">
        <v>1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0</v>
      </c>
      <c r="W3" s="32">
        <v>0</v>
      </c>
      <c r="X3" s="32">
        <v>0</v>
      </c>
      <c r="Y3" s="32">
        <v>0</v>
      </c>
      <c r="Z3" s="32">
        <v>0</v>
      </c>
      <c r="AA3" s="32">
        <v>0</v>
      </c>
      <c r="AB3" s="32">
        <f t="shared" ref="AB3:AB9" si="1">IF(L3=0,1,0)</f>
        <v>0</v>
      </c>
      <c r="AC3" s="32">
        <f t="shared" ref="AC3:AC9" si="2">IF(M3=0,1,0)</f>
        <v>0</v>
      </c>
    </row>
    <row r="4" spans="1:32" x14ac:dyDescent="0.3">
      <c r="A4" s="11">
        <v>1</v>
      </c>
      <c r="B4" s="34" t="s">
        <v>49</v>
      </c>
      <c r="C4" s="32">
        <v>73</v>
      </c>
      <c r="D4" s="32">
        <v>7</v>
      </c>
      <c r="E4" s="32">
        <v>4</v>
      </c>
      <c r="F4" s="32">
        <f t="shared" si="0"/>
        <v>84</v>
      </c>
      <c r="G4" s="32">
        <v>3</v>
      </c>
      <c r="H4" s="32">
        <v>4</v>
      </c>
      <c r="I4" s="32">
        <v>1</v>
      </c>
      <c r="J4" s="32">
        <v>2</v>
      </c>
      <c r="K4" s="32">
        <v>1</v>
      </c>
      <c r="L4" s="32">
        <v>1</v>
      </c>
      <c r="M4" s="32">
        <v>2</v>
      </c>
      <c r="N4" s="32">
        <v>1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0</v>
      </c>
      <c r="Y4" s="32">
        <v>0</v>
      </c>
      <c r="Z4" s="32">
        <v>0</v>
      </c>
      <c r="AA4" s="32">
        <v>0</v>
      </c>
      <c r="AB4" s="32">
        <f t="shared" si="1"/>
        <v>0</v>
      </c>
      <c r="AC4" s="32">
        <f t="shared" si="2"/>
        <v>0</v>
      </c>
    </row>
    <row r="5" spans="1:32" x14ac:dyDescent="0.3">
      <c r="A5" s="11">
        <v>1</v>
      </c>
      <c r="B5" s="34" t="s">
        <v>50</v>
      </c>
      <c r="C5" s="32">
        <v>71</v>
      </c>
      <c r="D5" s="32">
        <v>9.5</v>
      </c>
      <c r="E5" s="32">
        <v>0</v>
      </c>
      <c r="F5" s="32">
        <f t="shared" si="0"/>
        <v>80.5</v>
      </c>
      <c r="G5" s="32">
        <v>3</v>
      </c>
      <c r="H5" s="32">
        <v>3</v>
      </c>
      <c r="I5" s="32">
        <v>1</v>
      </c>
      <c r="J5" s="32">
        <v>4</v>
      </c>
      <c r="K5" s="32">
        <v>2</v>
      </c>
      <c r="L5" s="32">
        <v>1</v>
      </c>
      <c r="M5" s="32">
        <v>2</v>
      </c>
      <c r="N5" s="32">
        <v>0</v>
      </c>
      <c r="O5" s="32">
        <v>1</v>
      </c>
      <c r="P5" s="32">
        <v>3</v>
      </c>
      <c r="Q5" s="32">
        <v>3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32">
        <v>0</v>
      </c>
      <c r="Z5" s="32">
        <v>0</v>
      </c>
      <c r="AA5" s="32">
        <v>0</v>
      </c>
      <c r="AB5" s="32">
        <f t="shared" si="1"/>
        <v>0</v>
      </c>
      <c r="AC5" s="32">
        <f t="shared" si="2"/>
        <v>0</v>
      </c>
    </row>
    <row r="6" spans="1:32" x14ac:dyDescent="0.3">
      <c r="A6" s="11">
        <v>1</v>
      </c>
      <c r="B6" s="34" t="s">
        <v>56</v>
      </c>
      <c r="C6" s="32">
        <v>70</v>
      </c>
      <c r="D6" s="32">
        <v>6</v>
      </c>
      <c r="E6" s="32">
        <v>2</v>
      </c>
      <c r="F6" s="32">
        <f t="shared" si="0"/>
        <v>78</v>
      </c>
      <c r="G6" s="32">
        <v>3</v>
      </c>
      <c r="H6" s="32">
        <v>3</v>
      </c>
      <c r="I6" s="32">
        <v>2</v>
      </c>
      <c r="J6" s="32">
        <v>1</v>
      </c>
      <c r="K6" s="32">
        <v>2</v>
      </c>
      <c r="L6" s="32">
        <v>2</v>
      </c>
      <c r="M6" s="32">
        <v>2</v>
      </c>
      <c r="N6" s="32">
        <v>4</v>
      </c>
      <c r="O6" s="32">
        <v>1</v>
      </c>
      <c r="P6" s="32">
        <v>0</v>
      </c>
      <c r="Q6" s="32">
        <v>2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0</v>
      </c>
      <c r="Y6" s="32">
        <v>0</v>
      </c>
      <c r="Z6" s="32">
        <v>0</v>
      </c>
      <c r="AA6" s="32">
        <v>0</v>
      </c>
      <c r="AB6" s="32">
        <f t="shared" si="1"/>
        <v>0</v>
      </c>
      <c r="AC6" s="32">
        <f t="shared" si="2"/>
        <v>0</v>
      </c>
    </row>
    <row r="7" spans="1:32" x14ac:dyDescent="0.3">
      <c r="A7" s="11">
        <v>1</v>
      </c>
      <c r="B7" s="34" t="s">
        <v>51</v>
      </c>
      <c r="C7" s="32">
        <v>68</v>
      </c>
      <c r="D7" s="32">
        <v>8</v>
      </c>
      <c r="E7" s="32">
        <v>0</v>
      </c>
      <c r="F7" s="32">
        <f t="shared" si="0"/>
        <v>76</v>
      </c>
      <c r="G7" s="32">
        <v>3</v>
      </c>
      <c r="H7" s="32">
        <v>2</v>
      </c>
      <c r="I7" s="32">
        <v>1</v>
      </c>
      <c r="J7" s="32">
        <v>1</v>
      </c>
      <c r="K7" s="32">
        <v>1</v>
      </c>
      <c r="L7" s="32">
        <v>0</v>
      </c>
      <c r="M7" s="32">
        <v>1</v>
      </c>
      <c r="N7" s="32">
        <v>3</v>
      </c>
      <c r="O7" s="32">
        <v>2</v>
      </c>
      <c r="P7" s="32">
        <v>0</v>
      </c>
      <c r="Q7" s="32">
        <v>1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32">
        <v>0</v>
      </c>
      <c r="Z7" s="32">
        <v>0</v>
      </c>
      <c r="AA7" s="32">
        <v>0</v>
      </c>
      <c r="AB7" s="32">
        <f t="shared" si="1"/>
        <v>1</v>
      </c>
      <c r="AC7" s="32">
        <f t="shared" si="2"/>
        <v>0</v>
      </c>
    </row>
    <row r="8" spans="1:32" x14ac:dyDescent="0.3">
      <c r="A8" s="11">
        <v>1</v>
      </c>
      <c r="B8" s="34" t="s">
        <v>55</v>
      </c>
      <c r="C8" s="32">
        <v>66</v>
      </c>
      <c r="D8" s="32">
        <v>3.5</v>
      </c>
      <c r="E8" s="32">
        <v>0</v>
      </c>
      <c r="F8" s="32">
        <f t="shared" si="0"/>
        <v>69.5</v>
      </c>
      <c r="G8" s="32">
        <v>0</v>
      </c>
      <c r="H8" s="32">
        <v>1</v>
      </c>
      <c r="I8" s="32">
        <v>2</v>
      </c>
      <c r="J8" s="32">
        <v>1</v>
      </c>
      <c r="K8" s="32">
        <v>1</v>
      </c>
      <c r="L8" s="32">
        <v>1</v>
      </c>
      <c r="M8" s="32">
        <v>0</v>
      </c>
      <c r="N8" s="32">
        <v>2</v>
      </c>
      <c r="O8" s="32">
        <v>3</v>
      </c>
      <c r="P8" s="32">
        <v>1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2">
        <v>0</v>
      </c>
      <c r="X8" s="32">
        <v>0</v>
      </c>
      <c r="Y8" s="32">
        <v>0</v>
      </c>
      <c r="Z8" s="32">
        <v>0</v>
      </c>
      <c r="AA8" s="32">
        <v>0</v>
      </c>
      <c r="AB8" s="32">
        <f t="shared" si="1"/>
        <v>0</v>
      </c>
      <c r="AC8" s="32">
        <f t="shared" si="2"/>
        <v>1</v>
      </c>
    </row>
    <row r="9" spans="1:32" x14ac:dyDescent="0.3">
      <c r="A9" s="11">
        <v>1</v>
      </c>
      <c r="B9" s="34" t="s">
        <v>54</v>
      </c>
      <c r="C9" s="32">
        <v>66</v>
      </c>
      <c r="D9" s="32">
        <v>3</v>
      </c>
      <c r="E9" s="32">
        <v>0</v>
      </c>
      <c r="F9" s="32">
        <f t="shared" si="0"/>
        <v>69</v>
      </c>
      <c r="G9" s="32">
        <v>0</v>
      </c>
      <c r="H9" s="32">
        <v>1</v>
      </c>
      <c r="I9" s="32">
        <v>4</v>
      </c>
      <c r="J9" s="32">
        <v>1</v>
      </c>
      <c r="K9" s="32">
        <v>4</v>
      </c>
      <c r="L9" s="32">
        <v>1</v>
      </c>
      <c r="M9" s="32">
        <v>2</v>
      </c>
      <c r="N9" s="32">
        <v>1</v>
      </c>
      <c r="O9" s="32">
        <v>1</v>
      </c>
      <c r="P9" s="32">
        <v>0</v>
      </c>
      <c r="Q9" s="32">
        <v>1</v>
      </c>
      <c r="R9" s="32">
        <v>0</v>
      </c>
      <c r="S9" s="32">
        <v>0</v>
      </c>
      <c r="T9" s="32">
        <v>0</v>
      </c>
      <c r="U9" s="32">
        <v>0</v>
      </c>
      <c r="V9" s="32">
        <v>0</v>
      </c>
      <c r="W9" s="32">
        <v>0</v>
      </c>
      <c r="X9" s="32">
        <v>0</v>
      </c>
      <c r="Y9" s="32">
        <v>0</v>
      </c>
      <c r="Z9" s="32">
        <v>0</v>
      </c>
      <c r="AA9" s="32">
        <v>0</v>
      </c>
      <c r="AB9" s="32">
        <f t="shared" si="1"/>
        <v>0</v>
      </c>
      <c r="AC9" s="32">
        <f t="shared" si="2"/>
        <v>0</v>
      </c>
    </row>
    <row r="10" spans="1:32" x14ac:dyDescent="0.3">
      <c r="A10" s="11">
        <v>1</v>
      </c>
      <c r="B10" s="35" t="s">
        <v>53</v>
      </c>
      <c r="C10" s="16">
        <v>65</v>
      </c>
      <c r="D10" s="32">
        <v>3.5</v>
      </c>
      <c r="E10" s="32">
        <v>0</v>
      </c>
      <c r="F10" s="32">
        <f t="shared" si="0"/>
        <v>68.5</v>
      </c>
      <c r="G10" s="32">
        <v>0</v>
      </c>
      <c r="H10" s="32">
        <v>1</v>
      </c>
      <c r="I10" s="32">
        <v>3</v>
      </c>
      <c r="J10" s="32">
        <v>2</v>
      </c>
      <c r="K10" s="32">
        <v>4</v>
      </c>
      <c r="L10" s="32">
        <v>2</v>
      </c>
      <c r="M10" s="32">
        <v>1</v>
      </c>
      <c r="N10" s="32">
        <v>1</v>
      </c>
      <c r="O10" s="32">
        <v>0</v>
      </c>
      <c r="P10" s="32">
        <v>3</v>
      </c>
      <c r="Q10" s="32">
        <v>3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f t="shared" ref="AB10:AB12" si="3">IF(L10=0,1,0)</f>
        <v>0</v>
      </c>
      <c r="AC10" s="32">
        <f t="shared" ref="AC10:AC12" si="4">IF(M10=0,1,0)</f>
        <v>0</v>
      </c>
    </row>
    <row r="11" spans="1:32" x14ac:dyDescent="0.3">
      <c r="A11" s="11">
        <v>1</v>
      </c>
      <c r="B11" s="35" t="s">
        <v>52</v>
      </c>
      <c r="C11" s="16">
        <v>65.5</v>
      </c>
      <c r="D11" s="32">
        <v>8</v>
      </c>
      <c r="E11" s="32">
        <v>0</v>
      </c>
      <c r="F11" s="32">
        <f t="shared" si="0"/>
        <v>73.5</v>
      </c>
      <c r="G11" s="32">
        <v>0</v>
      </c>
      <c r="H11" s="32">
        <v>2</v>
      </c>
      <c r="I11" s="32">
        <v>3</v>
      </c>
      <c r="J11" s="32">
        <v>2</v>
      </c>
      <c r="K11" s="32">
        <v>1</v>
      </c>
      <c r="L11" s="32">
        <v>2</v>
      </c>
      <c r="M11" s="32">
        <v>2</v>
      </c>
      <c r="N11" s="32">
        <v>1</v>
      </c>
      <c r="O11" s="32">
        <v>4</v>
      </c>
      <c r="P11" s="32">
        <v>2</v>
      </c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32">
        <v>0</v>
      </c>
      <c r="Z11" s="32">
        <v>0</v>
      </c>
      <c r="AA11" s="32">
        <v>0</v>
      </c>
      <c r="AB11" s="32">
        <f t="shared" si="3"/>
        <v>0</v>
      </c>
      <c r="AC11" s="32">
        <f t="shared" si="4"/>
        <v>0</v>
      </c>
    </row>
    <row r="12" spans="1:32" x14ac:dyDescent="0.3">
      <c r="A12" s="11">
        <v>2</v>
      </c>
      <c r="B12" s="34" t="s">
        <v>60</v>
      </c>
      <c r="C12" s="16">
        <v>66</v>
      </c>
      <c r="D12" s="32">
        <v>4</v>
      </c>
      <c r="E12" s="32">
        <v>2</v>
      </c>
      <c r="F12" s="32">
        <f t="shared" si="0"/>
        <v>72</v>
      </c>
      <c r="G12" s="32">
        <v>3</v>
      </c>
      <c r="H12" s="32">
        <v>2</v>
      </c>
      <c r="I12" s="32">
        <v>0</v>
      </c>
      <c r="J12" s="32">
        <v>2</v>
      </c>
      <c r="K12" s="32">
        <v>1</v>
      </c>
      <c r="L12" s="32">
        <v>3</v>
      </c>
      <c r="M12" s="32">
        <v>3</v>
      </c>
      <c r="N12" s="32">
        <v>0</v>
      </c>
      <c r="O12" s="32">
        <v>2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0</v>
      </c>
      <c r="Y12" s="32">
        <v>0</v>
      </c>
      <c r="Z12" s="32">
        <v>0</v>
      </c>
      <c r="AA12" s="32">
        <v>0</v>
      </c>
      <c r="AB12" s="32">
        <f t="shared" si="3"/>
        <v>0</v>
      </c>
      <c r="AC12" s="32">
        <f t="shared" si="4"/>
        <v>0</v>
      </c>
    </row>
    <row r="13" spans="1:32" x14ac:dyDescent="0.3">
      <c r="A13" s="11">
        <v>2</v>
      </c>
      <c r="B13" s="34" t="s">
        <v>48</v>
      </c>
      <c r="C13" s="16">
        <v>72</v>
      </c>
      <c r="D13" s="32">
        <v>10</v>
      </c>
      <c r="E13" s="32">
        <v>3</v>
      </c>
      <c r="F13" s="32">
        <f t="shared" si="0"/>
        <v>85</v>
      </c>
      <c r="G13" s="32">
        <v>3</v>
      </c>
      <c r="H13" s="32">
        <v>4</v>
      </c>
      <c r="I13" s="32">
        <v>1</v>
      </c>
      <c r="J13" s="32">
        <v>4</v>
      </c>
      <c r="K13" s="32">
        <v>2</v>
      </c>
      <c r="L13" s="32">
        <v>5</v>
      </c>
      <c r="M13" s="32">
        <v>2</v>
      </c>
      <c r="N13" s="32">
        <v>1</v>
      </c>
      <c r="O13" s="32">
        <v>0</v>
      </c>
      <c r="P13" s="32">
        <v>0</v>
      </c>
      <c r="Q13" s="32">
        <v>1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f t="shared" ref="AB13:AB21" si="5">IF(L13=0,1,0)</f>
        <v>0</v>
      </c>
      <c r="AC13" s="32">
        <f t="shared" ref="AC13:AC21" si="6">IF(M13=0,1,0)</f>
        <v>0</v>
      </c>
    </row>
    <row r="14" spans="1:32" x14ac:dyDescent="0.3">
      <c r="A14" s="11">
        <v>2</v>
      </c>
      <c r="B14" s="34" t="s">
        <v>49</v>
      </c>
      <c r="C14" s="16">
        <v>68.5</v>
      </c>
      <c r="D14" s="32">
        <v>1.5</v>
      </c>
      <c r="E14" s="32">
        <v>2</v>
      </c>
      <c r="F14" s="32">
        <f t="shared" si="0"/>
        <v>72</v>
      </c>
      <c r="G14" s="32">
        <v>3</v>
      </c>
      <c r="H14" s="32">
        <v>2</v>
      </c>
      <c r="I14" s="32">
        <v>0</v>
      </c>
      <c r="J14" s="32">
        <v>2</v>
      </c>
      <c r="K14" s="32">
        <v>0</v>
      </c>
      <c r="L14" s="32">
        <v>2</v>
      </c>
      <c r="M14" s="32">
        <v>2</v>
      </c>
      <c r="N14" s="32">
        <v>1</v>
      </c>
      <c r="O14" s="32">
        <v>1</v>
      </c>
      <c r="P14" s="32">
        <v>1</v>
      </c>
      <c r="Q14" s="32">
        <v>1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1</v>
      </c>
      <c r="Y14" s="32">
        <v>0</v>
      </c>
      <c r="Z14" s="32">
        <v>0</v>
      </c>
      <c r="AA14" s="32">
        <v>0</v>
      </c>
      <c r="AB14" s="32">
        <f t="shared" si="5"/>
        <v>0</v>
      </c>
      <c r="AC14" s="32">
        <f t="shared" si="6"/>
        <v>0</v>
      </c>
    </row>
    <row r="15" spans="1:32" x14ac:dyDescent="0.3">
      <c r="A15" s="11">
        <v>2</v>
      </c>
      <c r="B15" s="34" t="s">
        <v>50</v>
      </c>
      <c r="C15" s="16">
        <v>64</v>
      </c>
      <c r="D15" s="32">
        <v>-1.5</v>
      </c>
      <c r="E15" s="32">
        <v>0</v>
      </c>
      <c r="F15" s="32">
        <f t="shared" si="0"/>
        <v>62.5</v>
      </c>
      <c r="G15" s="32">
        <v>0</v>
      </c>
      <c r="H15" s="32">
        <v>0</v>
      </c>
      <c r="I15" s="32">
        <v>2</v>
      </c>
      <c r="J15" s="32">
        <v>0</v>
      </c>
      <c r="K15" s="32">
        <v>2</v>
      </c>
      <c r="L15" s="32">
        <v>2</v>
      </c>
      <c r="M15" s="32">
        <v>2</v>
      </c>
      <c r="N15" s="32">
        <v>1</v>
      </c>
      <c r="O15" s="32">
        <v>1</v>
      </c>
      <c r="P15" s="32">
        <v>1</v>
      </c>
      <c r="Q15" s="32">
        <v>1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1</v>
      </c>
      <c r="Z15" s="32">
        <v>0</v>
      </c>
      <c r="AA15" s="32">
        <v>0</v>
      </c>
      <c r="AB15" s="32">
        <f t="shared" si="5"/>
        <v>0</v>
      </c>
      <c r="AC15" s="32">
        <f t="shared" si="6"/>
        <v>0</v>
      </c>
    </row>
    <row r="16" spans="1:32" x14ac:dyDescent="0.3">
      <c r="A16" s="11">
        <v>2</v>
      </c>
      <c r="B16" s="34" t="s">
        <v>56</v>
      </c>
      <c r="C16" s="16">
        <v>63</v>
      </c>
      <c r="D16" s="32">
        <v>2</v>
      </c>
      <c r="E16" s="32">
        <v>0</v>
      </c>
      <c r="F16" s="32">
        <f t="shared" si="0"/>
        <v>65</v>
      </c>
      <c r="G16" s="32">
        <v>0</v>
      </c>
      <c r="H16" s="32">
        <v>0</v>
      </c>
      <c r="I16" s="32">
        <v>2</v>
      </c>
      <c r="J16" s="32">
        <v>1</v>
      </c>
      <c r="K16" s="32">
        <v>2</v>
      </c>
      <c r="L16" s="32">
        <v>3</v>
      </c>
      <c r="M16" s="32">
        <v>3</v>
      </c>
      <c r="N16" s="32">
        <v>2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1</v>
      </c>
      <c r="X16" s="32">
        <v>0</v>
      </c>
      <c r="Y16" s="32">
        <v>0</v>
      </c>
      <c r="Z16" s="32">
        <v>0</v>
      </c>
      <c r="AA16" s="32">
        <v>0</v>
      </c>
      <c r="AB16" s="32">
        <f t="shared" si="5"/>
        <v>0</v>
      </c>
      <c r="AC16" s="32">
        <f t="shared" si="6"/>
        <v>0</v>
      </c>
    </row>
    <row r="17" spans="1:29" x14ac:dyDescent="0.3">
      <c r="A17" s="11">
        <v>2</v>
      </c>
      <c r="B17" s="34" t="s">
        <v>51</v>
      </c>
      <c r="C17" s="16">
        <v>70</v>
      </c>
      <c r="D17" s="32">
        <v>15</v>
      </c>
      <c r="E17" s="32">
        <v>0</v>
      </c>
      <c r="F17" s="32">
        <f t="shared" si="0"/>
        <v>85</v>
      </c>
      <c r="G17" s="32">
        <v>3</v>
      </c>
      <c r="H17" s="32">
        <v>4</v>
      </c>
      <c r="I17" s="32">
        <v>2</v>
      </c>
      <c r="J17" s="32">
        <v>6</v>
      </c>
      <c r="K17" s="32">
        <v>3</v>
      </c>
      <c r="L17" s="32">
        <v>3</v>
      </c>
      <c r="M17" s="32">
        <v>4</v>
      </c>
      <c r="N17" s="32">
        <v>0</v>
      </c>
      <c r="O17" s="32">
        <v>0</v>
      </c>
      <c r="P17" s="32">
        <v>0</v>
      </c>
      <c r="Q17" s="32">
        <v>0</v>
      </c>
      <c r="R17" s="32">
        <v>1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f t="shared" si="5"/>
        <v>0</v>
      </c>
      <c r="AC17" s="32">
        <f t="shared" si="6"/>
        <v>0</v>
      </c>
    </row>
    <row r="18" spans="1:29" x14ac:dyDescent="0.3">
      <c r="A18" s="11">
        <v>2</v>
      </c>
      <c r="B18" s="34" t="s">
        <v>55</v>
      </c>
      <c r="C18" s="16">
        <v>63</v>
      </c>
      <c r="D18" s="32">
        <v>0.5</v>
      </c>
      <c r="E18" s="32">
        <v>0</v>
      </c>
      <c r="F18" s="32">
        <f t="shared" si="0"/>
        <v>63.5</v>
      </c>
      <c r="G18" s="32">
        <v>0</v>
      </c>
      <c r="H18" s="32">
        <v>0</v>
      </c>
      <c r="I18" s="32">
        <v>1</v>
      </c>
      <c r="J18" s="32">
        <v>0</v>
      </c>
      <c r="K18" s="32">
        <v>0</v>
      </c>
      <c r="L18" s="32">
        <v>1</v>
      </c>
      <c r="M18" s="32">
        <v>0</v>
      </c>
      <c r="N18" s="32">
        <v>2</v>
      </c>
      <c r="O18" s="32">
        <v>2</v>
      </c>
      <c r="P18" s="32">
        <v>1</v>
      </c>
      <c r="Q18" s="32">
        <v>1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1</v>
      </c>
      <c r="X18" s="32">
        <v>0</v>
      </c>
      <c r="Y18" s="32">
        <v>0</v>
      </c>
      <c r="Z18" s="32">
        <v>0</v>
      </c>
      <c r="AA18" s="32">
        <v>0</v>
      </c>
      <c r="AB18" s="32">
        <f t="shared" si="5"/>
        <v>0</v>
      </c>
      <c r="AC18" s="32">
        <f t="shared" si="6"/>
        <v>1</v>
      </c>
    </row>
    <row r="19" spans="1:29" x14ac:dyDescent="0.3">
      <c r="A19" s="11">
        <v>2</v>
      </c>
      <c r="B19" s="34" t="s">
        <v>54</v>
      </c>
      <c r="C19" s="16">
        <v>65.5</v>
      </c>
      <c r="D19" s="32">
        <v>2.5</v>
      </c>
      <c r="E19" s="32">
        <v>0</v>
      </c>
      <c r="F19" s="32">
        <f t="shared" si="0"/>
        <v>68</v>
      </c>
      <c r="G19" s="32">
        <v>3</v>
      </c>
      <c r="H19" s="32">
        <v>1</v>
      </c>
      <c r="I19" s="32">
        <v>0</v>
      </c>
      <c r="J19" s="32">
        <v>0</v>
      </c>
      <c r="K19" s="32">
        <v>0</v>
      </c>
      <c r="L19" s="32">
        <v>0</v>
      </c>
      <c r="M19" s="32">
        <v>1</v>
      </c>
      <c r="N19" s="32">
        <v>2</v>
      </c>
      <c r="O19" s="32">
        <v>2</v>
      </c>
      <c r="P19" s="32">
        <v>1</v>
      </c>
      <c r="Q19" s="32">
        <v>1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1</v>
      </c>
      <c r="X19" s="32">
        <v>0</v>
      </c>
      <c r="Y19" s="32">
        <v>0</v>
      </c>
      <c r="Z19" s="32">
        <v>0</v>
      </c>
      <c r="AA19" s="32">
        <v>0</v>
      </c>
      <c r="AB19" s="32">
        <f t="shared" si="5"/>
        <v>1</v>
      </c>
      <c r="AC19" s="32">
        <f t="shared" si="6"/>
        <v>0</v>
      </c>
    </row>
    <row r="20" spans="1:29" x14ac:dyDescent="0.3">
      <c r="A20" s="11">
        <v>3</v>
      </c>
      <c r="B20" s="35" t="s">
        <v>53</v>
      </c>
      <c r="C20" s="16">
        <v>69</v>
      </c>
      <c r="D20" s="32">
        <v>7</v>
      </c>
      <c r="E20" s="32">
        <v>0</v>
      </c>
      <c r="F20" s="32">
        <f t="shared" si="0"/>
        <v>76</v>
      </c>
      <c r="G20" s="32">
        <v>0</v>
      </c>
      <c r="H20" s="32">
        <v>2</v>
      </c>
      <c r="I20" s="32">
        <v>3</v>
      </c>
      <c r="J20" s="32">
        <v>3</v>
      </c>
      <c r="K20" s="32">
        <v>6</v>
      </c>
      <c r="L20" s="32">
        <v>4</v>
      </c>
      <c r="M20" s="32">
        <v>3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1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f t="shared" si="5"/>
        <v>0</v>
      </c>
      <c r="AC20" s="32">
        <f t="shared" si="6"/>
        <v>0</v>
      </c>
    </row>
    <row r="21" spans="1:29" x14ac:dyDescent="0.3">
      <c r="A21" s="11">
        <v>3</v>
      </c>
      <c r="B21" s="35" t="s">
        <v>52</v>
      </c>
      <c r="C21" s="16">
        <v>68</v>
      </c>
      <c r="D21" s="32">
        <v>3.5</v>
      </c>
      <c r="E21" s="32">
        <v>0</v>
      </c>
      <c r="F21" s="32">
        <f t="shared" si="0"/>
        <v>71.5</v>
      </c>
      <c r="G21" s="32">
        <v>0</v>
      </c>
      <c r="H21" s="32">
        <v>1</v>
      </c>
      <c r="I21" s="32">
        <v>4</v>
      </c>
      <c r="J21" s="32">
        <v>2</v>
      </c>
      <c r="K21" s="32">
        <v>4</v>
      </c>
      <c r="L21" s="32">
        <v>2</v>
      </c>
      <c r="M21" s="32">
        <v>5</v>
      </c>
      <c r="N21" s="32">
        <v>0</v>
      </c>
      <c r="O21" s="32">
        <v>1</v>
      </c>
      <c r="P21" s="32">
        <v>1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1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f t="shared" si="5"/>
        <v>0</v>
      </c>
      <c r="AC21" s="32">
        <f t="shared" si="6"/>
        <v>0</v>
      </c>
    </row>
    <row r="22" spans="1:29" s="50" customFormat="1" x14ac:dyDescent="0.3">
      <c r="A22" s="11">
        <v>3</v>
      </c>
      <c r="B22" s="35" t="s">
        <v>60</v>
      </c>
      <c r="C22" s="16">
        <v>67</v>
      </c>
      <c r="D22" s="16">
        <v>5</v>
      </c>
      <c r="E22" s="16">
        <v>1</v>
      </c>
      <c r="F22" s="32">
        <v>73</v>
      </c>
      <c r="G22" s="16">
        <v>3</v>
      </c>
      <c r="H22" s="32">
        <v>2</v>
      </c>
      <c r="I22" s="16">
        <v>0</v>
      </c>
      <c r="J22" s="16">
        <v>1</v>
      </c>
      <c r="K22" s="16">
        <v>1</v>
      </c>
      <c r="L22" s="16">
        <v>0</v>
      </c>
      <c r="M22" s="16">
        <v>1</v>
      </c>
      <c r="N22" s="16">
        <v>1</v>
      </c>
      <c r="O22" s="16">
        <v>1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1</v>
      </c>
      <c r="Y22" s="32">
        <v>0</v>
      </c>
      <c r="Z22" s="32">
        <v>0</v>
      </c>
      <c r="AA22" s="32">
        <v>0</v>
      </c>
      <c r="AB22" s="32">
        <v>1</v>
      </c>
      <c r="AC22" s="32">
        <v>0</v>
      </c>
    </row>
    <row r="23" spans="1:29" s="50" customFormat="1" x14ac:dyDescent="0.3">
      <c r="A23" s="11">
        <v>3</v>
      </c>
      <c r="B23" s="35" t="s">
        <v>48</v>
      </c>
      <c r="C23" s="16">
        <v>55</v>
      </c>
      <c r="D23" s="16">
        <v>4</v>
      </c>
      <c r="E23" s="16">
        <v>0</v>
      </c>
      <c r="F23" s="32">
        <v>59</v>
      </c>
      <c r="G23" s="16">
        <v>0</v>
      </c>
      <c r="H23" s="32">
        <v>0</v>
      </c>
      <c r="I23" s="16">
        <v>2</v>
      </c>
      <c r="J23" s="16">
        <v>1</v>
      </c>
      <c r="K23" s="16">
        <v>1</v>
      </c>
      <c r="L23" s="16">
        <v>1</v>
      </c>
      <c r="M23" s="16">
        <v>0</v>
      </c>
      <c r="N23" s="16">
        <v>1</v>
      </c>
      <c r="O23" s="16">
        <v>1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32">
        <v>1</v>
      </c>
      <c r="Z23" s="32">
        <v>0</v>
      </c>
      <c r="AA23" s="32">
        <v>0</v>
      </c>
      <c r="AB23" s="32">
        <v>0</v>
      </c>
      <c r="AC23" s="32">
        <v>1</v>
      </c>
    </row>
    <row r="24" spans="1:29" s="50" customFormat="1" x14ac:dyDescent="0.3">
      <c r="A24" s="11">
        <v>3</v>
      </c>
      <c r="B24" s="35" t="s">
        <v>49</v>
      </c>
      <c r="C24" s="16">
        <v>64</v>
      </c>
      <c r="D24" s="16">
        <v>1.5</v>
      </c>
      <c r="E24" s="16">
        <v>0</v>
      </c>
      <c r="F24" s="32">
        <v>65.5</v>
      </c>
      <c r="G24" s="16">
        <v>1</v>
      </c>
      <c r="H24" s="32">
        <v>0</v>
      </c>
      <c r="I24" s="16">
        <v>0</v>
      </c>
      <c r="J24" s="16">
        <v>1</v>
      </c>
      <c r="K24" s="16">
        <v>0</v>
      </c>
      <c r="L24" s="16">
        <v>1</v>
      </c>
      <c r="M24" s="16">
        <v>1</v>
      </c>
      <c r="N24" s="16">
        <v>0</v>
      </c>
      <c r="O24" s="16">
        <v>0</v>
      </c>
      <c r="P24" s="16">
        <v>1</v>
      </c>
      <c r="Q24" s="16">
        <v>2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</row>
    <row r="25" spans="1:29" s="50" customFormat="1" x14ac:dyDescent="0.3">
      <c r="A25" s="11">
        <v>3</v>
      </c>
      <c r="B25" s="35" t="s">
        <v>50</v>
      </c>
      <c r="C25" s="16">
        <v>67.5</v>
      </c>
      <c r="D25" s="16">
        <v>4.5</v>
      </c>
      <c r="E25" s="16">
        <v>0</v>
      </c>
      <c r="F25" s="32">
        <v>72</v>
      </c>
      <c r="G25" s="16">
        <v>3</v>
      </c>
      <c r="H25" s="32">
        <v>2</v>
      </c>
      <c r="I25" s="16">
        <v>1</v>
      </c>
      <c r="J25" s="16">
        <v>1</v>
      </c>
      <c r="K25" s="16">
        <v>0</v>
      </c>
      <c r="L25" s="16">
        <v>0</v>
      </c>
      <c r="M25" s="16">
        <v>1</v>
      </c>
      <c r="N25" s="16">
        <v>1</v>
      </c>
      <c r="O25" s="16">
        <v>1</v>
      </c>
      <c r="P25" s="16">
        <v>1</v>
      </c>
      <c r="Q25" s="16">
        <v>2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32">
        <v>0</v>
      </c>
      <c r="Z25" s="32">
        <v>0</v>
      </c>
      <c r="AA25" s="32">
        <v>0</v>
      </c>
      <c r="AB25" s="32">
        <v>1</v>
      </c>
      <c r="AC25" s="32">
        <v>0</v>
      </c>
    </row>
    <row r="26" spans="1:29" s="50" customFormat="1" x14ac:dyDescent="0.3">
      <c r="A26" s="11">
        <v>3</v>
      </c>
      <c r="B26" s="35" t="s">
        <v>56</v>
      </c>
      <c r="C26" s="16">
        <v>67</v>
      </c>
      <c r="D26" s="16">
        <v>-1</v>
      </c>
      <c r="E26" s="16">
        <v>2</v>
      </c>
      <c r="F26" s="32">
        <v>68</v>
      </c>
      <c r="G26" s="16">
        <v>0</v>
      </c>
      <c r="H26" s="32">
        <v>1</v>
      </c>
      <c r="I26" s="16">
        <v>4</v>
      </c>
      <c r="J26" s="16">
        <v>0</v>
      </c>
      <c r="K26" s="16">
        <v>3</v>
      </c>
      <c r="L26" s="16">
        <v>2</v>
      </c>
      <c r="M26" s="16">
        <v>0</v>
      </c>
      <c r="N26" s="16">
        <v>2</v>
      </c>
      <c r="O26" s="16">
        <v>1</v>
      </c>
      <c r="P26" s="16">
        <v>2</v>
      </c>
      <c r="Q26" s="16">
        <v>1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32">
        <v>0</v>
      </c>
      <c r="Z26" s="32">
        <v>0</v>
      </c>
      <c r="AA26" s="32">
        <v>1</v>
      </c>
      <c r="AB26" s="32">
        <v>0</v>
      </c>
      <c r="AC26" s="32">
        <v>1</v>
      </c>
    </row>
    <row r="27" spans="1:29" s="50" customFormat="1" x14ac:dyDescent="0.3">
      <c r="A27" s="11">
        <v>3</v>
      </c>
      <c r="B27" s="35" t="s">
        <v>51</v>
      </c>
      <c r="C27" s="16">
        <v>62.5</v>
      </c>
      <c r="D27" s="16">
        <v>13.5</v>
      </c>
      <c r="E27" s="16">
        <v>0</v>
      </c>
      <c r="F27" s="32">
        <v>76</v>
      </c>
      <c r="G27" s="16">
        <v>1</v>
      </c>
      <c r="H27" s="32">
        <v>2</v>
      </c>
      <c r="I27" s="16">
        <v>2</v>
      </c>
      <c r="J27" s="16">
        <v>5</v>
      </c>
      <c r="K27" s="16">
        <v>3</v>
      </c>
      <c r="L27" s="16">
        <v>2</v>
      </c>
      <c r="M27" s="16">
        <v>2</v>
      </c>
      <c r="N27" s="16">
        <v>0</v>
      </c>
      <c r="O27" s="16">
        <v>1</v>
      </c>
      <c r="P27" s="16">
        <v>1</v>
      </c>
      <c r="Q27" s="16">
        <v>3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32">
        <v>0</v>
      </c>
      <c r="Z27" s="32">
        <v>0</v>
      </c>
      <c r="AA27" s="32">
        <v>0</v>
      </c>
      <c r="AB27" s="32">
        <v>0</v>
      </c>
      <c r="AC27" s="32">
        <v>0</v>
      </c>
    </row>
    <row r="28" spans="1:29" s="50" customFormat="1" x14ac:dyDescent="0.3">
      <c r="A28" s="11">
        <v>3</v>
      </c>
      <c r="B28" s="35" t="s">
        <v>55</v>
      </c>
      <c r="C28" s="16">
        <v>71</v>
      </c>
      <c r="D28" s="16">
        <v>14.5</v>
      </c>
      <c r="E28" s="16">
        <v>0</v>
      </c>
      <c r="F28" s="32">
        <v>85.5</v>
      </c>
      <c r="G28" s="16">
        <v>3</v>
      </c>
      <c r="H28" s="32">
        <v>4</v>
      </c>
      <c r="I28" s="16">
        <v>1</v>
      </c>
      <c r="J28" s="16">
        <v>3</v>
      </c>
      <c r="K28" s="16">
        <v>0</v>
      </c>
      <c r="L28" s="16">
        <v>0</v>
      </c>
      <c r="M28" s="16">
        <v>2</v>
      </c>
      <c r="N28" s="16">
        <v>1</v>
      </c>
      <c r="O28" s="16">
        <v>2</v>
      </c>
      <c r="P28" s="16">
        <v>1</v>
      </c>
      <c r="Q28" s="16">
        <v>2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32">
        <v>0</v>
      </c>
      <c r="Z28" s="32">
        <v>1</v>
      </c>
      <c r="AA28" s="32">
        <v>0</v>
      </c>
      <c r="AB28" s="32">
        <v>1</v>
      </c>
      <c r="AC28" s="32">
        <v>0</v>
      </c>
    </row>
    <row r="29" spans="1:29" s="50" customFormat="1" x14ac:dyDescent="0.3">
      <c r="A29" s="11">
        <v>3</v>
      </c>
      <c r="B29" s="35" t="s">
        <v>54</v>
      </c>
      <c r="C29" s="16">
        <v>70</v>
      </c>
      <c r="D29" s="16">
        <v>7.5</v>
      </c>
      <c r="E29" s="16">
        <v>0</v>
      </c>
      <c r="F29" s="32">
        <v>77.5</v>
      </c>
      <c r="G29" s="16">
        <v>1</v>
      </c>
      <c r="H29" s="32">
        <v>2</v>
      </c>
      <c r="I29" s="16">
        <v>2</v>
      </c>
      <c r="J29" s="16">
        <v>3</v>
      </c>
      <c r="K29" s="16">
        <v>5</v>
      </c>
      <c r="L29" s="16">
        <v>2</v>
      </c>
      <c r="M29" s="16">
        <v>2</v>
      </c>
      <c r="N29" s="16">
        <v>1</v>
      </c>
      <c r="O29" s="16">
        <v>0</v>
      </c>
      <c r="P29" s="16">
        <v>3</v>
      </c>
      <c r="Q29" s="16">
        <v>1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</row>
    <row r="30" spans="1:29" s="50" customFormat="1" x14ac:dyDescent="0.3">
      <c r="A30" s="11">
        <v>3</v>
      </c>
      <c r="B30" s="35" t="s">
        <v>53</v>
      </c>
      <c r="C30" s="16">
        <v>62.5</v>
      </c>
      <c r="D30" s="16">
        <v>-2</v>
      </c>
      <c r="E30" s="16">
        <v>0</v>
      </c>
      <c r="F30" s="32">
        <v>60.5</v>
      </c>
      <c r="G30" s="16">
        <v>1</v>
      </c>
      <c r="H30" s="32">
        <v>0</v>
      </c>
      <c r="I30" s="16">
        <v>0</v>
      </c>
      <c r="J30" s="16">
        <v>0</v>
      </c>
      <c r="K30" s="16">
        <v>1</v>
      </c>
      <c r="L30" s="16">
        <v>1</v>
      </c>
      <c r="M30" s="16">
        <v>1</v>
      </c>
      <c r="N30" s="16">
        <v>0</v>
      </c>
      <c r="O30" s="16">
        <v>0</v>
      </c>
      <c r="P30" s="16">
        <v>2</v>
      </c>
      <c r="Q30" s="16">
        <v>1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32">
        <v>0</v>
      </c>
      <c r="Z30" s="32">
        <v>0</v>
      </c>
      <c r="AA30" s="32">
        <v>0</v>
      </c>
      <c r="AB30" s="32">
        <v>0</v>
      </c>
      <c r="AC30" s="32">
        <v>0</v>
      </c>
    </row>
    <row r="31" spans="1:29" s="50" customFormat="1" x14ac:dyDescent="0.3">
      <c r="A31" s="11">
        <v>3</v>
      </c>
      <c r="B31" s="35" t="s">
        <v>52</v>
      </c>
      <c r="C31" s="16">
        <v>65.5</v>
      </c>
      <c r="D31" s="16">
        <v>-1</v>
      </c>
      <c r="E31" s="16">
        <v>2</v>
      </c>
      <c r="F31" s="32">
        <v>66.5</v>
      </c>
      <c r="G31" s="16">
        <v>0</v>
      </c>
      <c r="H31" s="32">
        <v>1</v>
      </c>
      <c r="I31" s="16">
        <v>2</v>
      </c>
      <c r="J31" s="16">
        <v>0</v>
      </c>
      <c r="K31" s="16">
        <v>1</v>
      </c>
      <c r="L31" s="16">
        <v>1</v>
      </c>
      <c r="M31" s="16">
        <v>0</v>
      </c>
      <c r="N31" s="16">
        <v>1</v>
      </c>
      <c r="O31" s="16">
        <v>1</v>
      </c>
      <c r="P31" s="16">
        <v>2</v>
      </c>
      <c r="Q31" s="16">
        <v>1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X31" s="16">
        <v>0</v>
      </c>
      <c r="Y31" s="32">
        <v>0</v>
      </c>
      <c r="Z31" s="32">
        <v>0</v>
      </c>
      <c r="AA31" s="32">
        <v>0</v>
      </c>
      <c r="AB31" s="32">
        <v>0</v>
      </c>
      <c r="AC31" s="32">
        <v>1</v>
      </c>
    </row>
    <row r="32" spans="1:29" x14ac:dyDescent="0.3">
      <c r="A32" s="11">
        <v>4</v>
      </c>
      <c r="F32" s="11">
        <f t="shared" si="0"/>
        <v>0</v>
      </c>
      <c r="H32" s="11">
        <v>0</v>
      </c>
      <c r="Y32" s="11"/>
      <c r="Z32" s="11"/>
      <c r="AA32" s="11"/>
      <c r="AB32" s="11"/>
      <c r="AC32" s="11"/>
    </row>
    <row r="33" spans="1:29" x14ac:dyDescent="0.3">
      <c r="A33" s="11">
        <v>4</v>
      </c>
      <c r="F33" s="11">
        <f t="shared" si="0"/>
        <v>0</v>
      </c>
      <c r="H33" s="11">
        <v>0</v>
      </c>
      <c r="Y33" s="11"/>
      <c r="Z33" s="11"/>
      <c r="AA33" s="11"/>
      <c r="AB33" s="11"/>
      <c r="AC33" s="11"/>
    </row>
    <row r="34" spans="1:29" x14ac:dyDescent="0.3">
      <c r="A34" s="11">
        <v>4</v>
      </c>
      <c r="F34" s="11">
        <f t="shared" si="0"/>
        <v>0</v>
      </c>
      <c r="H34" s="11">
        <v>0</v>
      </c>
      <c r="Y34" s="11"/>
      <c r="Z34" s="11"/>
      <c r="AA34" s="11"/>
      <c r="AB34" s="11"/>
      <c r="AC34" s="11"/>
    </row>
    <row r="35" spans="1:29" x14ac:dyDescent="0.3">
      <c r="A35" s="11">
        <v>4</v>
      </c>
      <c r="F35" s="11">
        <f t="shared" si="0"/>
        <v>0</v>
      </c>
      <c r="H35" s="11">
        <v>0</v>
      </c>
      <c r="Y35" s="11"/>
      <c r="Z35" s="11"/>
      <c r="AA35" s="11"/>
      <c r="AB35" s="11"/>
      <c r="AC35" s="11"/>
    </row>
    <row r="36" spans="1:29" x14ac:dyDescent="0.3">
      <c r="A36" s="11">
        <v>4</v>
      </c>
      <c r="F36" s="11">
        <f t="shared" si="0"/>
        <v>0</v>
      </c>
      <c r="H36" s="11">
        <v>0</v>
      </c>
      <c r="Y36" s="11"/>
      <c r="Z36" s="11"/>
      <c r="AA36" s="11"/>
      <c r="AB36" s="11"/>
      <c r="AC36" s="11"/>
    </row>
    <row r="37" spans="1:29" x14ac:dyDescent="0.3">
      <c r="A37" s="11">
        <v>4</v>
      </c>
      <c r="F37" s="11">
        <f t="shared" si="0"/>
        <v>0</v>
      </c>
      <c r="H37" s="11">
        <v>0</v>
      </c>
      <c r="Y37" s="11"/>
      <c r="Z37" s="11"/>
      <c r="AA37" s="11"/>
      <c r="AB37" s="11"/>
      <c r="AC37" s="11"/>
    </row>
    <row r="38" spans="1:29" x14ac:dyDescent="0.3">
      <c r="A38" s="11">
        <v>4</v>
      </c>
      <c r="F38" s="11">
        <f t="shared" si="0"/>
        <v>0</v>
      </c>
      <c r="H38" s="11">
        <v>0</v>
      </c>
      <c r="Y38" s="11"/>
      <c r="Z38" s="11"/>
      <c r="AA38" s="11"/>
      <c r="AB38" s="11"/>
      <c r="AC38" s="11"/>
    </row>
    <row r="39" spans="1:29" x14ac:dyDescent="0.3">
      <c r="A39" s="11">
        <v>4</v>
      </c>
      <c r="F39" s="11">
        <f t="shared" si="0"/>
        <v>0</v>
      </c>
      <c r="H39" s="11">
        <v>0</v>
      </c>
      <c r="Y39" s="11"/>
      <c r="Z39" s="11"/>
      <c r="AA39" s="11"/>
      <c r="AB39" s="11"/>
      <c r="AC39" s="11"/>
    </row>
    <row r="40" spans="1:29" x14ac:dyDescent="0.3">
      <c r="A40" s="11">
        <v>5</v>
      </c>
      <c r="F40" s="11">
        <f t="shared" si="0"/>
        <v>0</v>
      </c>
      <c r="H40" s="11">
        <v>0</v>
      </c>
      <c r="Y40" s="11"/>
      <c r="Z40" s="11"/>
      <c r="AA40" s="11"/>
      <c r="AB40" s="11"/>
      <c r="AC40" s="11"/>
    </row>
    <row r="41" spans="1:29" x14ac:dyDescent="0.3">
      <c r="A41" s="11">
        <v>5</v>
      </c>
      <c r="F41" s="11">
        <f t="shared" si="0"/>
        <v>0</v>
      </c>
      <c r="H41" s="11">
        <v>0</v>
      </c>
      <c r="Y41" s="11"/>
      <c r="Z41" s="11"/>
      <c r="AA41" s="11"/>
      <c r="AB41" s="11"/>
      <c r="AC41" s="11"/>
    </row>
    <row r="42" spans="1:29" x14ac:dyDescent="0.3">
      <c r="A42" s="11">
        <v>5</v>
      </c>
      <c r="F42" s="11">
        <f t="shared" si="0"/>
        <v>0</v>
      </c>
      <c r="H42" s="11">
        <v>0</v>
      </c>
      <c r="Y42" s="11"/>
      <c r="Z42" s="11"/>
      <c r="AA42" s="11"/>
      <c r="AB42" s="11"/>
      <c r="AC42" s="11"/>
    </row>
    <row r="43" spans="1:29" x14ac:dyDescent="0.3">
      <c r="A43" s="11">
        <v>5</v>
      </c>
      <c r="F43" s="11">
        <f t="shared" si="0"/>
        <v>0</v>
      </c>
      <c r="H43" s="11">
        <v>0</v>
      </c>
      <c r="Y43" s="11"/>
      <c r="Z43" s="11"/>
      <c r="AA43" s="11"/>
      <c r="AB43" s="11"/>
      <c r="AC43" s="11"/>
    </row>
    <row r="44" spans="1:29" x14ac:dyDescent="0.3">
      <c r="A44" s="11">
        <v>5</v>
      </c>
      <c r="F44" s="11">
        <f t="shared" si="0"/>
        <v>0</v>
      </c>
      <c r="H44" s="11">
        <v>0</v>
      </c>
      <c r="Y44" s="11"/>
      <c r="Z44" s="11"/>
      <c r="AA44" s="11"/>
      <c r="AB44" s="11"/>
      <c r="AC44" s="11"/>
    </row>
    <row r="45" spans="1:29" x14ac:dyDescent="0.3">
      <c r="A45" s="11">
        <v>5</v>
      </c>
      <c r="F45" s="11">
        <f t="shared" si="0"/>
        <v>0</v>
      </c>
      <c r="H45" s="11">
        <v>0</v>
      </c>
      <c r="Y45" s="11"/>
      <c r="Z45" s="11"/>
      <c r="AA45" s="11"/>
      <c r="AB45" s="11"/>
      <c r="AC45" s="11"/>
    </row>
    <row r="46" spans="1:29" x14ac:dyDescent="0.3">
      <c r="A46" s="11">
        <v>5</v>
      </c>
      <c r="F46" s="11">
        <f t="shared" si="0"/>
        <v>0</v>
      </c>
      <c r="H46" s="11">
        <v>0</v>
      </c>
      <c r="Y46" s="11"/>
      <c r="Z46" s="11"/>
      <c r="AA46" s="11"/>
      <c r="AB46" s="11"/>
      <c r="AC46" s="11"/>
    </row>
    <row r="47" spans="1:29" x14ac:dyDescent="0.3">
      <c r="A47" s="11">
        <v>5</v>
      </c>
      <c r="F47" s="11">
        <f t="shared" si="0"/>
        <v>0</v>
      </c>
      <c r="H47" s="11">
        <v>0</v>
      </c>
      <c r="Y47" s="11"/>
      <c r="Z47" s="11"/>
      <c r="AA47" s="11"/>
      <c r="AB47" s="11"/>
      <c r="AC47" s="11"/>
    </row>
    <row r="48" spans="1:29" x14ac:dyDescent="0.3">
      <c r="A48" s="11">
        <v>5</v>
      </c>
      <c r="F48" s="11">
        <f t="shared" si="0"/>
        <v>0</v>
      </c>
      <c r="H48" s="11">
        <v>0</v>
      </c>
      <c r="Y48" s="11"/>
      <c r="Z48" s="11"/>
      <c r="AA48" s="11"/>
      <c r="AB48" s="11"/>
      <c r="AC48" s="11"/>
    </row>
    <row r="49" spans="1:29" x14ac:dyDescent="0.3">
      <c r="A49" s="11">
        <v>5</v>
      </c>
      <c r="F49" s="11">
        <f t="shared" si="0"/>
        <v>0</v>
      </c>
      <c r="H49" s="11">
        <v>0</v>
      </c>
      <c r="Y49" s="11"/>
      <c r="Z49" s="11"/>
      <c r="AA49" s="11"/>
      <c r="AB49" s="11"/>
      <c r="AC49" s="11"/>
    </row>
    <row r="50" spans="1:29" x14ac:dyDescent="0.3">
      <c r="A50" s="11">
        <v>6</v>
      </c>
      <c r="F50" s="11">
        <f t="shared" si="0"/>
        <v>0</v>
      </c>
      <c r="H50" s="11">
        <v>0</v>
      </c>
      <c r="Y50" s="11"/>
      <c r="Z50" s="11"/>
      <c r="AA50" s="11"/>
      <c r="AB50" s="11"/>
      <c r="AC50" s="11"/>
    </row>
    <row r="51" spans="1:29" x14ac:dyDescent="0.3">
      <c r="A51" s="11">
        <v>6</v>
      </c>
      <c r="F51" s="11">
        <f t="shared" si="0"/>
        <v>0</v>
      </c>
      <c r="H51" s="11">
        <v>0</v>
      </c>
      <c r="Y51" s="11"/>
      <c r="Z51" s="11"/>
      <c r="AA51" s="11"/>
      <c r="AB51" s="11"/>
      <c r="AC51" s="11"/>
    </row>
    <row r="52" spans="1:29" x14ac:dyDescent="0.3">
      <c r="A52" s="11">
        <v>6</v>
      </c>
      <c r="F52" s="11">
        <f t="shared" si="0"/>
        <v>0</v>
      </c>
      <c r="H52" s="11">
        <v>0</v>
      </c>
      <c r="Y52" s="11"/>
      <c r="Z52" s="11"/>
      <c r="AA52" s="11"/>
      <c r="AB52" s="11"/>
      <c r="AC52" s="11"/>
    </row>
    <row r="53" spans="1:29" x14ac:dyDescent="0.3">
      <c r="A53" s="11">
        <v>6</v>
      </c>
      <c r="F53" s="11">
        <f t="shared" si="0"/>
        <v>0</v>
      </c>
      <c r="H53" s="11">
        <v>0</v>
      </c>
      <c r="Y53" s="11"/>
      <c r="Z53" s="11"/>
      <c r="AA53" s="11"/>
      <c r="AB53" s="11"/>
      <c r="AC53" s="11"/>
    </row>
    <row r="54" spans="1:29" x14ac:dyDescent="0.3">
      <c r="A54" s="11">
        <v>6</v>
      </c>
      <c r="F54" s="11">
        <f t="shared" si="0"/>
        <v>0</v>
      </c>
      <c r="H54" s="11">
        <v>0</v>
      </c>
      <c r="Y54" s="11"/>
      <c r="Z54" s="11"/>
      <c r="AA54" s="11"/>
      <c r="AB54" s="11"/>
      <c r="AC54" s="11"/>
    </row>
    <row r="55" spans="1:29" x14ac:dyDescent="0.3">
      <c r="A55" s="11">
        <v>6</v>
      </c>
      <c r="F55" s="11">
        <f t="shared" si="0"/>
        <v>0</v>
      </c>
      <c r="H55" s="11">
        <v>0</v>
      </c>
      <c r="Y55" s="11"/>
      <c r="Z55" s="11"/>
      <c r="AA55" s="11"/>
      <c r="AB55" s="11"/>
      <c r="AC55" s="11"/>
    </row>
    <row r="56" spans="1:29" x14ac:dyDescent="0.3">
      <c r="A56" s="11">
        <v>6</v>
      </c>
      <c r="F56" s="11">
        <f t="shared" si="0"/>
        <v>0</v>
      </c>
      <c r="H56" s="11">
        <v>0</v>
      </c>
      <c r="Y56" s="11"/>
      <c r="Z56" s="11"/>
      <c r="AA56" s="11"/>
      <c r="AB56" s="11"/>
      <c r="AC56" s="11"/>
    </row>
    <row r="57" spans="1:29" x14ac:dyDescent="0.3">
      <c r="A57" s="11">
        <v>6</v>
      </c>
      <c r="F57" s="11">
        <f t="shared" si="0"/>
        <v>0</v>
      </c>
      <c r="H57" s="11">
        <v>0</v>
      </c>
      <c r="Y57" s="11"/>
      <c r="Z57" s="11"/>
      <c r="AA57" s="11"/>
      <c r="AB57" s="11"/>
      <c r="AC57" s="11"/>
    </row>
    <row r="58" spans="1:29" x14ac:dyDescent="0.3">
      <c r="A58" s="11">
        <v>6</v>
      </c>
      <c r="F58" s="11">
        <f t="shared" si="0"/>
        <v>0</v>
      </c>
      <c r="H58" s="11">
        <v>0</v>
      </c>
      <c r="Y58" s="11"/>
      <c r="Z58" s="11"/>
      <c r="AA58" s="11"/>
      <c r="AB58" s="11"/>
      <c r="AC58" s="11"/>
    </row>
    <row r="59" spans="1:29" x14ac:dyDescent="0.3">
      <c r="A59" s="11">
        <v>6</v>
      </c>
      <c r="F59" s="11">
        <f t="shared" si="0"/>
        <v>0</v>
      </c>
      <c r="H59" s="11">
        <v>0</v>
      </c>
      <c r="Y59" s="11"/>
      <c r="Z59" s="11"/>
      <c r="AA59" s="11"/>
      <c r="AB59" s="11"/>
      <c r="AC59" s="11"/>
    </row>
    <row r="60" spans="1:29" x14ac:dyDescent="0.3">
      <c r="F60" s="11">
        <f t="shared" si="0"/>
        <v>0</v>
      </c>
      <c r="H60" s="11">
        <v>0</v>
      </c>
      <c r="Y60" s="11"/>
      <c r="Z60" s="11"/>
      <c r="AA60" s="11"/>
      <c r="AB60" s="11"/>
      <c r="AC60" s="11"/>
    </row>
    <row r="61" spans="1:29" x14ac:dyDescent="0.3">
      <c r="F61" s="11">
        <f t="shared" si="0"/>
        <v>0</v>
      </c>
      <c r="H61" s="11">
        <v>0</v>
      </c>
      <c r="Y61" s="11"/>
      <c r="Z61" s="11"/>
      <c r="AA61" s="11"/>
      <c r="AB61" s="11"/>
      <c r="AC61" s="11"/>
    </row>
    <row r="62" spans="1:29" x14ac:dyDescent="0.3">
      <c r="F62" s="11">
        <f t="shared" si="0"/>
        <v>0</v>
      </c>
      <c r="H62" s="11">
        <v>0</v>
      </c>
      <c r="Y62" s="11"/>
      <c r="Z62" s="11"/>
      <c r="AA62" s="11"/>
      <c r="AB62" s="11"/>
      <c r="AC62" s="11"/>
    </row>
    <row r="63" spans="1:29" x14ac:dyDescent="0.3">
      <c r="F63" s="11">
        <f t="shared" si="0"/>
        <v>0</v>
      </c>
      <c r="H63" s="11">
        <v>0</v>
      </c>
      <c r="Y63" s="11"/>
      <c r="Z63" s="11"/>
      <c r="AA63" s="11"/>
      <c r="AB63" s="11"/>
      <c r="AC63" s="11"/>
    </row>
    <row r="64" spans="1:29" x14ac:dyDescent="0.3">
      <c r="F64" s="11">
        <f t="shared" si="0"/>
        <v>0</v>
      </c>
      <c r="H64" s="11">
        <v>0</v>
      </c>
      <c r="Y64" s="11"/>
      <c r="Z64" s="11"/>
      <c r="AA64" s="11"/>
      <c r="AB64" s="11"/>
      <c r="AC64" s="11"/>
    </row>
    <row r="65" spans="6:29" x14ac:dyDescent="0.3">
      <c r="F65" s="11">
        <f t="shared" si="0"/>
        <v>0</v>
      </c>
      <c r="H65" s="11">
        <v>0</v>
      </c>
      <c r="Y65" s="11"/>
      <c r="Z65" s="11"/>
      <c r="AA65" s="11"/>
      <c r="AB65" s="11"/>
      <c r="AC65" s="11"/>
    </row>
    <row r="66" spans="6:29" x14ac:dyDescent="0.3">
      <c r="F66" s="11">
        <f t="shared" si="0"/>
        <v>0</v>
      </c>
      <c r="H66" s="11">
        <v>0</v>
      </c>
      <c r="Y66" s="11"/>
      <c r="Z66" s="11"/>
      <c r="AA66" s="11"/>
      <c r="AB66" s="11"/>
      <c r="AC66" s="11"/>
    </row>
    <row r="67" spans="6:29" x14ac:dyDescent="0.3">
      <c r="F67" s="11">
        <v>0</v>
      </c>
      <c r="H67" s="11">
        <v>0</v>
      </c>
      <c r="Y67" s="11"/>
      <c r="Z67" s="11"/>
      <c r="AA67" s="11"/>
      <c r="AB67" s="11"/>
      <c r="AC67" s="11"/>
    </row>
    <row r="68" spans="6:29" x14ac:dyDescent="0.3">
      <c r="F68" s="11">
        <v>0</v>
      </c>
      <c r="H68" s="11">
        <v>0</v>
      </c>
      <c r="Y68" s="11"/>
      <c r="Z68" s="11"/>
      <c r="AA68" s="11"/>
      <c r="AB68" s="11"/>
      <c r="AC68" s="11"/>
    </row>
    <row r="69" spans="6:29" x14ac:dyDescent="0.3">
      <c r="F69" s="11">
        <v>0</v>
      </c>
      <c r="H69" s="11">
        <v>0</v>
      </c>
      <c r="Y69" s="11"/>
      <c r="Z69" s="11"/>
      <c r="AA69" s="11"/>
      <c r="AB69" s="11"/>
      <c r="AC69" s="11"/>
    </row>
    <row r="70" spans="6:29" x14ac:dyDescent="0.3">
      <c r="F70" s="11">
        <v>0</v>
      </c>
      <c r="H70" s="11">
        <v>0</v>
      </c>
      <c r="Y70" s="11"/>
      <c r="Z70" s="11"/>
      <c r="AA70" s="11"/>
      <c r="AB70" s="11"/>
      <c r="AC70" s="11"/>
    </row>
    <row r="71" spans="6:29" x14ac:dyDescent="0.3">
      <c r="F71" s="11">
        <v>0</v>
      </c>
      <c r="H71" s="11">
        <v>0</v>
      </c>
      <c r="Y71" s="11"/>
      <c r="Z71" s="11"/>
      <c r="AA71" s="11"/>
      <c r="AB71" s="11"/>
      <c r="AC71" s="11"/>
    </row>
    <row r="72" spans="6:29" x14ac:dyDescent="0.3">
      <c r="F72" s="11">
        <v>0</v>
      </c>
      <c r="H72" s="11">
        <v>0</v>
      </c>
      <c r="Y72" s="11"/>
      <c r="Z72" s="11"/>
      <c r="AA72" s="11"/>
      <c r="AB72" s="11"/>
      <c r="AC72" s="11"/>
    </row>
    <row r="73" spans="6:29" x14ac:dyDescent="0.3">
      <c r="F73" s="11">
        <v>0</v>
      </c>
      <c r="H73" s="11">
        <v>0</v>
      </c>
      <c r="Y73" s="11"/>
      <c r="Z73" s="11"/>
      <c r="AA73" s="11"/>
      <c r="AB73" s="11"/>
      <c r="AC73" s="11"/>
    </row>
    <row r="74" spans="6:29" x14ac:dyDescent="0.3">
      <c r="F74" s="11">
        <v>0</v>
      </c>
      <c r="H74" s="11">
        <v>0</v>
      </c>
      <c r="Y74" s="11"/>
      <c r="Z74" s="11"/>
      <c r="AA74" s="11"/>
      <c r="AB74" s="11"/>
      <c r="AC74" s="11"/>
    </row>
    <row r="75" spans="6:29" x14ac:dyDescent="0.3">
      <c r="F75" s="11">
        <v>0</v>
      </c>
      <c r="H75" s="11">
        <v>0</v>
      </c>
      <c r="Y75" s="11"/>
      <c r="Z75" s="11"/>
      <c r="AA75" s="11"/>
      <c r="AB75" s="11"/>
      <c r="AC75" s="11"/>
    </row>
    <row r="76" spans="6:29" x14ac:dyDescent="0.3">
      <c r="F76" s="11">
        <v>0</v>
      </c>
      <c r="H76" s="11">
        <v>0</v>
      </c>
      <c r="Y76" s="11"/>
      <c r="Z76" s="11"/>
      <c r="AA76" s="11"/>
      <c r="AB76" s="11"/>
      <c r="AC76" s="11"/>
    </row>
    <row r="77" spans="6:29" x14ac:dyDescent="0.3">
      <c r="F77" s="11">
        <v>0</v>
      </c>
      <c r="H77" s="11">
        <v>0</v>
      </c>
      <c r="Y77" s="11"/>
      <c r="Z77" s="11"/>
      <c r="AA77" s="11"/>
      <c r="AB77" s="11"/>
      <c r="AC77" s="11"/>
    </row>
    <row r="78" spans="6:29" x14ac:dyDescent="0.3">
      <c r="F78" s="11">
        <v>0</v>
      </c>
      <c r="H78" s="11">
        <v>0</v>
      </c>
      <c r="Y78" s="11"/>
      <c r="Z78" s="11"/>
      <c r="AA78" s="11"/>
      <c r="AB78" s="11"/>
      <c r="AC78" s="11"/>
    </row>
    <row r="79" spans="6:29" x14ac:dyDescent="0.3">
      <c r="F79" s="11">
        <v>0</v>
      </c>
      <c r="H79" s="11">
        <v>0</v>
      </c>
      <c r="Y79" s="11"/>
      <c r="Z79" s="11"/>
      <c r="AA79" s="11"/>
      <c r="AB79" s="11"/>
      <c r="AC79" s="11"/>
    </row>
    <row r="80" spans="6:29" x14ac:dyDescent="0.3">
      <c r="F80" s="11">
        <v>0</v>
      </c>
      <c r="H80" s="11">
        <v>0</v>
      </c>
      <c r="Y80" s="11"/>
      <c r="Z80" s="11"/>
      <c r="AA80" s="11"/>
      <c r="AB80" s="11"/>
      <c r="AC80" s="11"/>
    </row>
    <row r="81" spans="6:29" x14ac:dyDescent="0.3">
      <c r="F81" s="11">
        <v>0</v>
      </c>
      <c r="H81" s="11">
        <v>0</v>
      </c>
      <c r="Y81" s="11"/>
      <c r="Z81" s="11"/>
      <c r="AA81" s="11"/>
      <c r="AB81" s="11"/>
      <c r="AC81" s="11"/>
    </row>
    <row r="82" spans="6:29" x14ac:dyDescent="0.3">
      <c r="F82" s="11">
        <v>0</v>
      </c>
      <c r="H82" s="11">
        <v>0</v>
      </c>
      <c r="Y82" s="11"/>
      <c r="Z82" s="11"/>
      <c r="AA82" s="11"/>
      <c r="AB82" s="11"/>
      <c r="AC82" s="11"/>
    </row>
    <row r="83" spans="6:29" x14ac:dyDescent="0.3">
      <c r="F83" s="11">
        <v>0</v>
      </c>
      <c r="H83" s="11">
        <v>0</v>
      </c>
      <c r="Y83" s="11"/>
      <c r="Z83" s="11"/>
      <c r="AA83" s="11"/>
      <c r="AB83" s="11"/>
      <c r="AC83" s="11"/>
    </row>
    <row r="84" spans="6:29" x14ac:dyDescent="0.3">
      <c r="F84" s="11">
        <v>0</v>
      </c>
      <c r="H84" s="11">
        <v>0</v>
      </c>
      <c r="Y84" s="11"/>
      <c r="Z84" s="11"/>
      <c r="AA84" s="11"/>
      <c r="AB84" s="11"/>
      <c r="AC84" s="11"/>
    </row>
    <row r="85" spans="6:29" x14ac:dyDescent="0.3">
      <c r="F85" s="11">
        <v>0</v>
      </c>
      <c r="H85" s="11">
        <v>0</v>
      </c>
      <c r="Y85" s="11"/>
      <c r="Z85" s="11"/>
      <c r="AA85" s="11"/>
      <c r="AB85" s="11"/>
      <c r="AC85" s="11"/>
    </row>
    <row r="86" spans="6:29" x14ac:dyDescent="0.3">
      <c r="F86" s="11">
        <v>0</v>
      </c>
      <c r="H86" s="11">
        <v>0</v>
      </c>
      <c r="Y86" s="11"/>
      <c r="Z86" s="11"/>
      <c r="AA86" s="11"/>
      <c r="AB86" s="11"/>
      <c r="AC86" s="11"/>
    </row>
    <row r="87" spans="6:29" x14ac:dyDescent="0.3">
      <c r="F87" s="11">
        <v>0</v>
      </c>
      <c r="H87" s="11">
        <v>0</v>
      </c>
      <c r="Y87" s="11"/>
      <c r="Z87" s="11"/>
      <c r="AA87" s="11"/>
      <c r="AB87" s="11"/>
      <c r="AC87" s="11"/>
    </row>
    <row r="88" spans="6:29" x14ac:dyDescent="0.3">
      <c r="F88" s="11">
        <v>0</v>
      </c>
      <c r="H88" s="11">
        <v>0</v>
      </c>
      <c r="Y88" s="11"/>
      <c r="Z88" s="11"/>
      <c r="AA88" s="11"/>
      <c r="AB88" s="11"/>
      <c r="AC88" s="11"/>
    </row>
    <row r="89" spans="6:29" x14ac:dyDescent="0.3">
      <c r="F89" s="11">
        <v>0</v>
      </c>
      <c r="H89" s="11">
        <v>0</v>
      </c>
      <c r="Y89" s="11"/>
      <c r="Z89" s="11"/>
      <c r="AA89" s="11"/>
      <c r="AB89" s="11"/>
      <c r="AC89" s="11"/>
    </row>
    <row r="90" spans="6:29" x14ac:dyDescent="0.3">
      <c r="F90" s="11">
        <v>0</v>
      </c>
      <c r="H90" s="11">
        <v>0</v>
      </c>
      <c r="Y90" s="11"/>
      <c r="Z90" s="11"/>
      <c r="AA90" s="11"/>
      <c r="AB90" s="11"/>
      <c r="AC90" s="11"/>
    </row>
    <row r="91" spans="6:29" x14ac:dyDescent="0.3">
      <c r="F91" s="11">
        <v>0</v>
      </c>
      <c r="H91" s="11">
        <v>0</v>
      </c>
      <c r="Y91" s="11"/>
      <c r="Z91" s="11"/>
      <c r="AA91" s="11"/>
      <c r="AB91" s="11"/>
      <c r="AC91" s="11"/>
    </row>
    <row r="92" spans="6:29" x14ac:dyDescent="0.3">
      <c r="F92" s="11">
        <v>0</v>
      </c>
      <c r="H92" s="11">
        <v>0</v>
      </c>
      <c r="Y92" s="11"/>
      <c r="Z92" s="11"/>
      <c r="AA92" s="11"/>
      <c r="AB92" s="11"/>
      <c r="AC92" s="11"/>
    </row>
    <row r="93" spans="6:29" x14ac:dyDescent="0.3">
      <c r="F93" s="11">
        <v>0</v>
      </c>
      <c r="H93" s="11">
        <v>0</v>
      </c>
      <c r="Y93" s="11"/>
      <c r="Z93" s="11"/>
      <c r="AA93" s="11"/>
      <c r="AB93" s="11"/>
      <c r="AC93" s="11"/>
    </row>
    <row r="94" spans="6:29" x14ac:dyDescent="0.3">
      <c r="F94" s="11">
        <v>0</v>
      </c>
      <c r="H94" s="11">
        <v>0</v>
      </c>
      <c r="Y94" s="11"/>
      <c r="Z94" s="11"/>
      <c r="AA94" s="11"/>
      <c r="AB94" s="11"/>
      <c r="AC94" s="11"/>
    </row>
    <row r="95" spans="6:29" x14ac:dyDescent="0.3">
      <c r="F95" s="11">
        <v>0</v>
      </c>
      <c r="H95" s="11">
        <v>0</v>
      </c>
      <c r="Y95" s="11"/>
      <c r="Z95" s="11"/>
      <c r="AA95" s="11"/>
      <c r="AB95" s="11"/>
      <c r="AC95" s="11"/>
    </row>
    <row r="96" spans="6:29" x14ac:dyDescent="0.3">
      <c r="F96" s="11">
        <v>0</v>
      </c>
      <c r="H96" s="11">
        <v>0</v>
      </c>
      <c r="Y96" s="11"/>
      <c r="Z96" s="11"/>
      <c r="AA96" s="11"/>
      <c r="AB96" s="11"/>
      <c r="AC96" s="11"/>
    </row>
    <row r="97" spans="6:29" x14ac:dyDescent="0.3">
      <c r="F97" s="11">
        <v>0</v>
      </c>
      <c r="H97" s="11">
        <v>0</v>
      </c>
      <c r="Y97" s="11"/>
      <c r="Z97" s="11"/>
      <c r="AA97" s="11"/>
      <c r="AB97" s="11"/>
      <c r="AC97" s="11"/>
    </row>
    <row r="98" spans="6:29" x14ac:dyDescent="0.3">
      <c r="F98" s="11">
        <v>0</v>
      </c>
      <c r="H98" s="11">
        <v>0</v>
      </c>
      <c r="Y98" s="11"/>
      <c r="Z98" s="11"/>
      <c r="AA98" s="11"/>
      <c r="AB98" s="11"/>
      <c r="AC98" s="11"/>
    </row>
    <row r="99" spans="6:29" x14ac:dyDescent="0.3">
      <c r="F99" s="11">
        <v>0</v>
      </c>
      <c r="H99" s="11">
        <v>0</v>
      </c>
      <c r="Y99" s="11"/>
      <c r="Z99" s="11"/>
      <c r="AA99" s="11"/>
      <c r="AB99" s="11"/>
      <c r="AC99" s="11"/>
    </row>
    <row r="100" spans="6:29" x14ac:dyDescent="0.3">
      <c r="F100" s="11">
        <v>0</v>
      </c>
      <c r="H100" s="11">
        <v>0</v>
      </c>
      <c r="Y100" s="11"/>
      <c r="Z100" s="11"/>
      <c r="AA100" s="11"/>
      <c r="AB100" s="11"/>
      <c r="AC100" s="11"/>
    </row>
    <row r="101" spans="6:29" x14ac:dyDescent="0.3">
      <c r="F101" s="11">
        <v>0</v>
      </c>
      <c r="H101" s="11">
        <v>0</v>
      </c>
      <c r="Y101" s="11"/>
      <c r="Z101" s="11"/>
      <c r="AA101" s="11"/>
      <c r="AB101" s="11"/>
      <c r="AC101" s="11"/>
    </row>
    <row r="102" spans="6:29" x14ac:dyDescent="0.3">
      <c r="F102" s="11">
        <v>0</v>
      </c>
      <c r="H102" s="11">
        <v>0</v>
      </c>
      <c r="Y102" s="11"/>
      <c r="Z102" s="11"/>
      <c r="AA102" s="11"/>
      <c r="AB102" s="11"/>
      <c r="AC102" s="11"/>
    </row>
    <row r="103" spans="6:29" x14ac:dyDescent="0.3">
      <c r="F103" s="11">
        <v>0</v>
      </c>
      <c r="H103" s="11">
        <v>0</v>
      </c>
      <c r="Y103" s="11"/>
      <c r="Z103" s="11"/>
      <c r="AA103" s="11"/>
      <c r="AB103" s="11"/>
      <c r="AC103" s="11"/>
    </row>
    <row r="104" spans="6:29" x14ac:dyDescent="0.3">
      <c r="F104" s="11">
        <v>0</v>
      </c>
      <c r="H104" s="11">
        <v>0</v>
      </c>
      <c r="Y104" s="11"/>
      <c r="Z104" s="11"/>
      <c r="AA104" s="11"/>
      <c r="AB104" s="11"/>
      <c r="AC104" s="11"/>
    </row>
    <row r="105" spans="6:29" x14ac:dyDescent="0.3">
      <c r="F105" s="11">
        <v>0</v>
      </c>
      <c r="H105" s="11">
        <v>0</v>
      </c>
      <c r="Y105" s="11"/>
      <c r="Z105" s="11"/>
      <c r="AA105" s="11"/>
      <c r="AB105" s="11"/>
      <c r="AC105" s="11"/>
    </row>
    <row r="106" spans="6:29" x14ac:dyDescent="0.3">
      <c r="F106" s="11">
        <v>0</v>
      </c>
      <c r="H106" s="11">
        <v>0</v>
      </c>
      <c r="Y106" s="11"/>
      <c r="Z106" s="11"/>
      <c r="AA106" s="11"/>
      <c r="AB106" s="11"/>
      <c r="AC106" s="11"/>
    </row>
    <row r="107" spans="6:29" x14ac:dyDescent="0.3">
      <c r="F107" s="11">
        <v>0</v>
      </c>
      <c r="H107" s="11">
        <v>0</v>
      </c>
      <c r="Y107" s="11"/>
      <c r="Z107" s="11"/>
      <c r="AA107" s="11"/>
      <c r="AB107" s="11"/>
      <c r="AC107" s="11"/>
    </row>
    <row r="108" spans="6:29" x14ac:dyDescent="0.3">
      <c r="F108" s="11">
        <v>0</v>
      </c>
      <c r="H108" s="11">
        <v>0</v>
      </c>
      <c r="Y108" s="11"/>
      <c r="Z108" s="11"/>
      <c r="AA108" s="11"/>
      <c r="AB108" s="11"/>
      <c r="AC108" s="11"/>
    </row>
    <row r="109" spans="6:29" x14ac:dyDescent="0.3">
      <c r="F109" s="11">
        <v>0</v>
      </c>
      <c r="H109" s="11">
        <v>0</v>
      </c>
      <c r="Y109" s="11"/>
      <c r="Z109" s="11"/>
      <c r="AA109" s="11"/>
      <c r="AB109" s="11"/>
      <c r="AC109" s="11"/>
    </row>
    <row r="110" spans="6:29" x14ac:dyDescent="0.3">
      <c r="F110" s="11">
        <v>0</v>
      </c>
      <c r="H110" s="11">
        <v>0</v>
      </c>
      <c r="Y110" s="11"/>
      <c r="Z110" s="11"/>
      <c r="AA110" s="11"/>
      <c r="AB110" s="11"/>
      <c r="AC110" s="11"/>
    </row>
    <row r="111" spans="6:29" x14ac:dyDescent="0.3">
      <c r="F111" s="11">
        <v>0</v>
      </c>
      <c r="H111" s="11">
        <v>0</v>
      </c>
      <c r="Y111" s="11"/>
      <c r="Z111" s="11"/>
      <c r="AA111" s="11"/>
      <c r="AB111" s="11"/>
      <c r="AC111" s="11"/>
    </row>
    <row r="112" spans="6:29" x14ac:dyDescent="0.3">
      <c r="F112" s="11">
        <v>0</v>
      </c>
      <c r="H112" s="11">
        <v>0</v>
      </c>
      <c r="Y112" s="11"/>
      <c r="Z112" s="11"/>
      <c r="AA112" s="11"/>
      <c r="AB112" s="11"/>
      <c r="AC112" s="11"/>
    </row>
    <row r="113" spans="5:29" x14ac:dyDescent="0.3">
      <c r="F113" s="11">
        <v>0</v>
      </c>
      <c r="H113" s="11">
        <v>0</v>
      </c>
      <c r="Y113" s="11"/>
      <c r="Z113" s="11"/>
      <c r="AA113" s="11"/>
      <c r="AB113" s="11"/>
      <c r="AC113" s="11"/>
    </row>
    <row r="114" spans="5:29" x14ac:dyDescent="0.3">
      <c r="E114" s="13"/>
      <c r="F114" s="11">
        <v>0</v>
      </c>
      <c r="H114" s="11">
        <v>0</v>
      </c>
      <c r="Y114" s="11"/>
      <c r="Z114" s="11"/>
      <c r="AA114" s="11"/>
      <c r="AB114" s="11"/>
      <c r="AC114" s="11"/>
    </row>
    <row r="115" spans="5:29" x14ac:dyDescent="0.3">
      <c r="F115" s="11">
        <v>0</v>
      </c>
      <c r="H115" s="13">
        <v>0</v>
      </c>
      <c r="Y115" s="11"/>
      <c r="Z115" s="11"/>
      <c r="AA115" s="11"/>
      <c r="AB115" s="11"/>
      <c r="AC115" s="11"/>
    </row>
    <row r="116" spans="5:29" x14ac:dyDescent="0.3">
      <c r="F116" s="11">
        <v>0</v>
      </c>
      <c r="H116" s="11">
        <v>0</v>
      </c>
      <c r="Y116" s="11"/>
      <c r="Z116" s="11"/>
      <c r="AA116" s="11"/>
      <c r="AB116" s="11"/>
      <c r="AC116" s="11"/>
    </row>
    <row r="117" spans="5:29" x14ac:dyDescent="0.3">
      <c r="F117" s="11">
        <v>0</v>
      </c>
      <c r="H117" s="11">
        <v>0</v>
      </c>
      <c r="Y117" s="11"/>
      <c r="Z117" s="11"/>
      <c r="AA117" s="11"/>
      <c r="AB117" s="11"/>
      <c r="AC117" s="11"/>
    </row>
    <row r="118" spans="5:29" x14ac:dyDescent="0.3">
      <c r="F118" s="11">
        <v>0</v>
      </c>
      <c r="H118" s="11">
        <v>0</v>
      </c>
      <c r="R118" s="13"/>
      <c r="S118" s="13"/>
      <c r="Y118" s="11"/>
      <c r="Z118" s="11"/>
      <c r="AA118" s="11"/>
      <c r="AB118" s="13"/>
      <c r="AC118" s="11"/>
    </row>
    <row r="119" spans="5:29" x14ac:dyDescent="0.3">
      <c r="F119" s="11">
        <v>0</v>
      </c>
      <c r="H119" s="11">
        <v>0</v>
      </c>
      <c r="M119" s="13"/>
      <c r="R119" s="13"/>
      <c r="S119" s="13"/>
      <c r="Y119" s="11"/>
      <c r="Z119" s="11"/>
      <c r="AA119" s="11"/>
      <c r="AB119" s="11"/>
      <c r="AC119" s="11"/>
    </row>
    <row r="120" spans="5:29" x14ac:dyDescent="0.3">
      <c r="F120" s="11">
        <v>0</v>
      </c>
      <c r="H120" s="11">
        <v>0</v>
      </c>
      <c r="Y120" s="11"/>
      <c r="Z120" s="11"/>
      <c r="AA120" s="11"/>
      <c r="AB120" s="11"/>
      <c r="AC120" s="11"/>
    </row>
    <row r="121" spans="5:29" x14ac:dyDescent="0.3">
      <c r="F121" s="11">
        <v>0</v>
      </c>
      <c r="H121" s="11">
        <v>0</v>
      </c>
      <c r="Y121" s="11"/>
      <c r="Z121" s="11"/>
      <c r="AA121" s="11"/>
      <c r="AB121" s="11"/>
      <c r="AC121" s="11"/>
    </row>
    <row r="122" spans="5:29" x14ac:dyDescent="0.3">
      <c r="F122" s="11">
        <v>0</v>
      </c>
      <c r="H122" s="11">
        <v>0</v>
      </c>
      <c r="Y122" s="11"/>
      <c r="Z122" s="11"/>
      <c r="AA122" s="11"/>
      <c r="AB122" s="11"/>
      <c r="AC122" s="11"/>
    </row>
    <row r="123" spans="5:29" x14ac:dyDescent="0.3">
      <c r="F123" s="11">
        <v>0</v>
      </c>
      <c r="H123" s="11">
        <v>0</v>
      </c>
      <c r="Y123" s="11"/>
      <c r="Z123" s="11"/>
      <c r="AA123" s="11"/>
      <c r="AB123" s="11"/>
      <c r="AC123" s="11"/>
    </row>
    <row r="124" spans="5:29" x14ac:dyDescent="0.3">
      <c r="F124" s="11">
        <v>0</v>
      </c>
      <c r="H124" s="11">
        <v>0</v>
      </c>
      <c r="Y124" s="11"/>
      <c r="Z124" s="11"/>
      <c r="AA124" s="11"/>
      <c r="AB124" s="11"/>
      <c r="AC124" s="11"/>
    </row>
    <row r="125" spans="5:29" x14ac:dyDescent="0.3">
      <c r="F125" s="11">
        <v>0</v>
      </c>
      <c r="H125" s="11">
        <v>0</v>
      </c>
      <c r="Y125" s="11"/>
      <c r="Z125" s="11"/>
      <c r="AA125" s="11"/>
      <c r="AB125" s="11"/>
      <c r="AC125" s="11"/>
    </row>
    <row r="126" spans="5:29" x14ac:dyDescent="0.3">
      <c r="F126" s="11">
        <v>0</v>
      </c>
      <c r="H126" s="11">
        <v>0</v>
      </c>
      <c r="Y126" s="11"/>
      <c r="Z126" s="11"/>
      <c r="AA126" s="11"/>
      <c r="AB126" s="11"/>
      <c r="AC126" s="11"/>
    </row>
    <row r="127" spans="5:29" x14ac:dyDescent="0.3">
      <c r="F127" s="11">
        <v>0</v>
      </c>
      <c r="H127" s="11">
        <v>0</v>
      </c>
      <c r="Y127" s="11"/>
      <c r="Z127" s="11"/>
      <c r="AA127" s="11"/>
      <c r="AB127" s="11"/>
      <c r="AC127" s="11"/>
    </row>
    <row r="128" spans="5:29" x14ac:dyDescent="0.3">
      <c r="F128" s="11">
        <v>0</v>
      </c>
      <c r="H128" s="11">
        <v>0</v>
      </c>
      <c r="Y128" s="11"/>
      <c r="Z128" s="11"/>
      <c r="AA128" s="11"/>
      <c r="AB128" s="11"/>
      <c r="AC128" s="11"/>
    </row>
    <row r="129" spans="6:29" x14ac:dyDescent="0.3">
      <c r="F129" s="11">
        <v>0</v>
      </c>
      <c r="H129" s="11">
        <v>0</v>
      </c>
      <c r="Y129" s="11"/>
      <c r="Z129" s="11"/>
      <c r="AA129" s="11"/>
      <c r="AB129" s="11"/>
      <c r="AC129" s="11"/>
    </row>
    <row r="130" spans="6:29" x14ac:dyDescent="0.3">
      <c r="F130" s="11">
        <v>0</v>
      </c>
      <c r="H130" s="11">
        <v>0</v>
      </c>
      <c r="N130" s="13"/>
      <c r="Y130" s="11"/>
      <c r="Z130" s="11"/>
      <c r="AA130" s="11"/>
      <c r="AB130" s="11"/>
      <c r="AC130" s="11"/>
    </row>
    <row r="131" spans="6:29" x14ac:dyDescent="0.3">
      <c r="F131" s="11">
        <v>0</v>
      </c>
      <c r="H131" s="11">
        <v>0</v>
      </c>
      <c r="Y131" s="11"/>
      <c r="Z131" s="11"/>
      <c r="AA131" s="11"/>
      <c r="AB131" s="11"/>
      <c r="AC131" s="11"/>
    </row>
    <row r="132" spans="6:29" x14ac:dyDescent="0.3">
      <c r="F132" s="11">
        <v>0</v>
      </c>
      <c r="H132" s="11">
        <v>0</v>
      </c>
      <c r="Y132" s="11"/>
      <c r="Z132" s="11"/>
      <c r="AA132" s="11"/>
      <c r="AB132" s="11"/>
      <c r="AC132" s="11"/>
    </row>
    <row r="133" spans="6:29" x14ac:dyDescent="0.3">
      <c r="F133" s="11">
        <v>0</v>
      </c>
      <c r="H133" s="11">
        <v>0</v>
      </c>
      <c r="Y133" s="11"/>
      <c r="Z133" s="11"/>
      <c r="AA133" s="11"/>
      <c r="AB133" s="11"/>
      <c r="AC133" s="11"/>
    </row>
    <row r="134" spans="6:29" x14ac:dyDescent="0.3">
      <c r="F134" s="11">
        <v>0</v>
      </c>
      <c r="H134" s="11">
        <v>0</v>
      </c>
      <c r="Y134" s="11"/>
      <c r="Z134" s="11"/>
      <c r="AA134" s="11"/>
      <c r="AB134" s="11"/>
      <c r="AC134" s="11"/>
    </row>
    <row r="135" spans="6:29" x14ac:dyDescent="0.3">
      <c r="F135" s="11">
        <v>0</v>
      </c>
      <c r="H135" s="11">
        <v>0</v>
      </c>
      <c r="Y135" s="11"/>
      <c r="Z135" s="11"/>
      <c r="AA135" s="11"/>
      <c r="AB135" s="11"/>
      <c r="AC135" s="11"/>
    </row>
    <row r="136" spans="6:29" x14ac:dyDescent="0.3">
      <c r="F136" s="11">
        <v>0</v>
      </c>
      <c r="H136" s="11">
        <v>0</v>
      </c>
      <c r="Y136" s="11"/>
      <c r="Z136" s="11"/>
      <c r="AA136" s="11"/>
      <c r="AB136" s="11"/>
      <c r="AC136" s="11"/>
    </row>
    <row r="137" spans="6:29" x14ac:dyDescent="0.3">
      <c r="F137" s="11">
        <v>0</v>
      </c>
      <c r="H137" s="11">
        <v>0</v>
      </c>
      <c r="Y137" s="11"/>
      <c r="Z137" s="11"/>
      <c r="AA137" s="11"/>
      <c r="AB137" s="11"/>
      <c r="AC137" s="11"/>
    </row>
    <row r="138" spans="6:29" x14ac:dyDescent="0.3">
      <c r="F138" s="11">
        <v>0</v>
      </c>
      <c r="H138" s="11">
        <v>0</v>
      </c>
      <c r="Y138" s="11"/>
      <c r="Z138" s="11"/>
      <c r="AA138" s="11"/>
      <c r="AB138" s="11"/>
      <c r="AC138" s="11"/>
    </row>
    <row r="139" spans="6:29" x14ac:dyDescent="0.3">
      <c r="F139" s="11">
        <v>0</v>
      </c>
      <c r="H139" s="11">
        <v>0</v>
      </c>
      <c r="Y139" s="11"/>
      <c r="Z139" s="11"/>
      <c r="AA139" s="11"/>
      <c r="AB139" s="11"/>
      <c r="AC139" s="11"/>
    </row>
    <row r="140" spans="6:29" x14ac:dyDescent="0.3">
      <c r="F140" s="11">
        <v>0</v>
      </c>
      <c r="H140" s="11">
        <v>0</v>
      </c>
      <c r="Y140" s="11"/>
      <c r="Z140" s="11"/>
      <c r="AA140" s="11"/>
      <c r="AB140" s="11"/>
      <c r="AC140" s="11"/>
    </row>
    <row r="141" spans="6:29" x14ac:dyDescent="0.3">
      <c r="F141" s="11">
        <v>0</v>
      </c>
      <c r="H141" s="11">
        <v>0</v>
      </c>
      <c r="Y141" s="11"/>
      <c r="Z141" s="11"/>
      <c r="AA141" s="11"/>
      <c r="AB141" s="11"/>
      <c r="AC141" s="11"/>
    </row>
    <row r="142" spans="6:29" x14ac:dyDescent="0.3">
      <c r="F142" s="11">
        <v>0</v>
      </c>
      <c r="H142" s="11">
        <v>0</v>
      </c>
      <c r="Y142" s="11"/>
      <c r="Z142" s="11"/>
      <c r="AA142" s="11"/>
      <c r="AB142" s="11"/>
      <c r="AC142" s="11"/>
    </row>
    <row r="143" spans="6:29" x14ac:dyDescent="0.3">
      <c r="F143" s="11">
        <v>0</v>
      </c>
      <c r="H143" s="11">
        <v>0</v>
      </c>
      <c r="Y143" s="11"/>
      <c r="Z143" s="11"/>
      <c r="AA143" s="11"/>
      <c r="AB143" s="11"/>
      <c r="AC143" s="11"/>
    </row>
    <row r="144" spans="6:29" x14ac:dyDescent="0.3">
      <c r="F144" s="11">
        <v>0</v>
      </c>
      <c r="H144" s="11">
        <v>0</v>
      </c>
      <c r="Y144" s="11"/>
      <c r="Z144" s="11"/>
      <c r="AA144" s="11"/>
      <c r="AB144" s="11"/>
      <c r="AC144" s="11"/>
    </row>
    <row r="145" spans="6:29" x14ac:dyDescent="0.3">
      <c r="F145" s="11">
        <v>0</v>
      </c>
      <c r="H145" s="11">
        <v>0</v>
      </c>
      <c r="Y145" s="11"/>
      <c r="Z145" s="11"/>
      <c r="AA145" s="11"/>
      <c r="AB145" s="11"/>
      <c r="AC145" s="11"/>
    </row>
    <row r="146" spans="6:29" x14ac:dyDescent="0.3">
      <c r="F146" s="11">
        <v>0</v>
      </c>
      <c r="H146" s="11">
        <v>0</v>
      </c>
      <c r="Y146" s="11"/>
      <c r="Z146" s="11"/>
      <c r="AA146" s="11"/>
      <c r="AB146" s="11"/>
      <c r="AC146" s="11"/>
    </row>
    <row r="147" spans="6:29" x14ac:dyDescent="0.3">
      <c r="F147" s="11">
        <v>0</v>
      </c>
      <c r="H147" s="11">
        <v>0</v>
      </c>
      <c r="Y147" s="11"/>
      <c r="Z147" s="11"/>
      <c r="AA147" s="11"/>
      <c r="AB147" s="11"/>
      <c r="AC147" s="11"/>
    </row>
    <row r="148" spans="6:29" x14ac:dyDescent="0.3">
      <c r="F148" s="11">
        <v>0</v>
      </c>
      <c r="H148" s="11">
        <v>0</v>
      </c>
      <c r="Y148" s="11"/>
      <c r="Z148" s="11"/>
      <c r="AA148" s="11"/>
      <c r="AB148" s="11"/>
      <c r="AC148" s="11"/>
    </row>
    <row r="149" spans="6:29" x14ac:dyDescent="0.3">
      <c r="F149" s="11">
        <v>0</v>
      </c>
      <c r="H149" s="11">
        <v>0</v>
      </c>
      <c r="Y149" s="11"/>
      <c r="Z149" s="11"/>
      <c r="AA149" s="11"/>
      <c r="AB149" s="11"/>
      <c r="AC149" s="11"/>
    </row>
    <row r="150" spans="6:29" x14ac:dyDescent="0.3">
      <c r="F150" s="11">
        <v>0</v>
      </c>
      <c r="H150" s="11">
        <v>0</v>
      </c>
      <c r="Y150" s="11"/>
      <c r="Z150" s="11"/>
      <c r="AA150" s="11"/>
      <c r="AB150" s="11"/>
      <c r="AC150" s="11"/>
    </row>
    <row r="151" spans="6:29" x14ac:dyDescent="0.3">
      <c r="F151" s="11">
        <v>0</v>
      </c>
      <c r="H151" s="11">
        <v>0</v>
      </c>
      <c r="Y151" s="11"/>
      <c r="Z151" s="11"/>
      <c r="AA151" s="11"/>
      <c r="AB151" s="11"/>
      <c r="AC151" s="11"/>
    </row>
    <row r="152" spans="6:29" x14ac:dyDescent="0.3">
      <c r="F152" s="11">
        <v>0</v>
      </c>
      <c r="H152" s="11">
        <v>0</v>
      </c>
      <c r="Y152" s="11"/>
      <c r="Z152" s="11"/>
      <c r="AA152" s="11"/>
      <c r="AB152" s="11"/>
      <c r="AC152" s="11"/>
    </row>
    <row r="153" spans="6:29" x14ac:dyDescent="0.3">
      <c r="F153" s="11">
        <v>0</v>
      </c>
      <c r="H153" s="11">
        <v>0</v>
      </c>
      <c r="Y153" s="11"/>
      <c r="Z153" s="11"/>
      <c r="AA153" s="11"/>
      <c r="AB153" s="11"/>
      <c r="AC153" s="11"/>
    </row>
    <row r="154" spans="6:29" x14ac:dyDescent="0.3">
      <c r="F154" s="11">
        <v>0</v>
      </c>
      <c r="H154" s="11">
        <v>0</v>
      </c>
      <c r="Y154" s="11"/>
      <c r="Z154" s="11"/>
      <c r="AA154" s="11"/>
      <c r="AB154" s="11"/>
      <c r="AC154" s="11"/>
    </row>
    <row r="155" spans="6:29" x14ac:dyDescent="0.3">
      <c r="F155" s="11">
        <v>0</v>
      </c>
      <c r="H155" s="11">
        <v>0</v>
      </c>
      <c r="Y155" s="11"/>
      <c r="Z155" s="11"/>
      <c r="AA155" s="11"/>
      <c r="AB155" s="11"/>
      <c r="AC155" s="11"/>
    </row>
    <row r="156" spans="6:29" x14ac:dyDescent="0.3">
      <c r="F156" s="11">
        <v>0</v>
      </c>
      <c r="H156" s="11">
        <v>0</v>
      </c>
      <c r="Y156" s="11"/>
      <c r="Z156" s="11"/>
      <c r="AA156" s="11"/>
      <c r="AB156" s="11"/>
      <c r="AC156" s="11"/>
    </row>
    <row r="157" spans="6:29" x14ac:dyDescent="0.3">
      <c r="F157" s="11">
        <v>0</v>
      </c>
      <c r="H157" s="11">
        <v>0</v>
      </c>
      <c r="Y157" s="11"/>
      <c r="Z157" s="11"/>
      <c r="AA157" s="11"/>
      <c r="AB157" s="11"/>
      <c r="AC157" s="11"/>
    </row>
    <row r="158" spans="6:29" x14ac:dyDescent="0.3">
      <c r="F158" s="11">
        <v>0</v>
      </c>
      <c r="H158" s="11">
        <v>0</v>
      </c>
      <c r="Y158" s="11"/>
      <c r="Z158" s="11"/>
      <c r="AA158" s="11"/>
      <c r="AB158" s="11"/>
      <c r="AC158" s="11"/>
    </row>
    <row r="159" spans="6:29" x14ac:dyDescent="0.3">
      <c r="F159" s="11">
        <v>0</v>
      </c>
      <c r="H159" s="11">
        <v>0</v>
      </c>
      <c r="Y159" s="11"/>
      <c r="Z159" s="11"/>
      <c r="AA159" s="11"/>
      <c r="AB159" s="11"/>
      <c r="AC159" s="11"/>
    </row>
    <row r="160" spans="6:29" x14ac:dyDescent="0.3">
      <c r="F160" s="11">
        <v>0</v>
      </c>
      <c r="H160" s="11">
        <v>0</v>
      </c>
      <c r="Y160" s="11"/>
      <c r="Z160" s="11"/>
      <c r="AA160" s="11"/>
      <c r="AB160" s="11"/>
      <c r="AC160" s="11"/>
    </row>
    <row r="161" spans="6:29" x14ac:dyDescent="0.3">
      <c r="F161" s="11">
        <v>0</v>
      </c>
      <c r="H161" s="11">
        <v>0</v>
      </c>
      <c r="Y161" s="11"/>
      <c r="Z161" s="11"/>
      <c r="AA161" s="11"/>
      <c r="AB161" s="11"/>
      <c r="AC161" s="11"/>
    </row>
    <row r="162" spans="6:29" x14ac:dyDescent="0.3">
      <c r="F162" s="11">
        <v>0</v>
      </c>
      <c r="H162" s="11">
        <v>0</v>
      </c>
      <c r="Y162" s="11"/>
      <c r="Z162" s="11"/>
      <c r="AA162" s="11"/>
      <c r="AB162" s="11"/>
      <c r="AC162" s="11"/>
    </row>
    <row r="163" spans="6:29" x14ac:dyDescent="0.3">
      <c r="F163" s="11">
        <v>0</v>
      </c>
      <c r="H163" s="11">
        <v>0</v>
      </c>
      <c r="Y163" s="11"/>
      <c r="Z163" s="11"/>
      <c r="AA163" s="11"/>
      <c r="AB163" s="11"/>
      <c r="AC163" s="11"/>
    </row>
    <row r="164" spans="6:29" x14ac:dyDescent="0.3">
      <c r="F164" s="11">
        <v>0</v>
      </c>
      <c r="H164" s="11">
        <v>0</v>
      </c>
      <c r="Y164" s="11"/>
      <c r="Z164" s="11"/>
      <c r="AA164" s="11"/>
      <c r="AB164" s="11"/>
      <c r="AC164" s="11"/>
    </row>
    <row r="165" spans="6:29" x14ac:dyDescent="0.3">
      <c r="F165" s="11">
        <v>0</v>
      </c>
      <c r="H165" s="11">
        <v>0</v>
      </c>
      <c r="Y165" s="11"/>
      <c r="Z165" s="11"/>
      <c r="AA165" s="11"/>
      <c r="AB165" s="11"/>
      <c r="AC165" s="11"/>
    </row>
    <row r="166" spans="6:29" x14ac:dyDescent="0.3">
      <c r="F166" s="11">
        <v>0</v>
      </c>
      <c r="H166" s="11">
        <v>0</v>
      </c>
      <c r="Y166" s="11"/>
      <c r="Z166" s="11"/>
      <c r="AA166" s="11"/>
      <c r="AB166" s="11"/>
      <c r="AC166" s="11"/>
    </row>
    <row r="167" spans="6:29" x14ac:dyDescent="0.3">
      <c r="F167" s="11">
        <v>0</v>
      </c>
      <c r="H167" s="11">
        <v>0</v>
      </c>
      <c r="Y167" s="11"/>
      <c r="Z167" s="11"/>
      <c r="AA167" s="11"/>
      <c r="AB167" s="11"/>
      <c r="AC167" s="11"/>
    </row>
    <row r="168" spans="6:29" x14ac:dyDescent="0.3">
      <c r="F168" s="11">
        <v>0</v>
      </c>
      <c r="H168" s="11">
        <v>0</v>
      </c>
      <c r="Y168" s="11"/>
      <c r="Z168" s="11"/>
      <c r="AA168" s="11"/>
      <c r="AB168" s="11"/>
      <c r="AC168" s="11"/>
    </row>
    <row r="169" spans="6:29" x14ac:dyDescent="0.3">
      <c r="F169" s="11">
        <v>0</v>
      </c>
      <c r="H169" s="11">
        <v>0</v>
      </c>
      <c r="Y169" s="11"/>
      <c r="Z169" s="11"/>
      <c r="AA169" s="11"/>
      <c r="AB169" s="11"/>
      <c r="AC169" s="11"/>
    </row>
    <row r="170" spans="6:29" x14ac:dyDescent="0.3">
      <c r="F170" s="11">
        <v>0</v>
      </c>
      <c r="H170" s="11">
        <v>0</v>
      </c>
      <c r="Y170" s="11"/>
      <c r="Z170" s="11"/>
      <c r="AA170" s="11"/>
      <c r="AB170" s="11"/>
      <c r="AC170" s="11"/>
    </row>
    <row r="171" spans="6:29" x14ac:dyDescent="0.3">
      <c r="F171" s="11">
        <v>0</v>
      </c>
      <c r="H171" s="11">
        <v>0</v>
      </c>
      <c r="Y171" s="11"/>
      <c r="Z171" s="11"/>
      <c r="AA171" s="11"/>
      <c r="AB171" s="11"/>
      <c r="AC171" s="11"/>
    </row>
    <row r="172" spans="6:29" x14ac:dyDescent="0.3">
      <c r="F172" s="11">
        <v>0</v>
      </c>
      <c r="H172" s="11">
        <v>0</v>
      </c>
      <c r="Y172" s="11"/>
      <c r="Z172" s="11"/>
      <c r="AA172" s="11"/>
      <c r="AB172" s="11"/>
      <c r="AC172" s="11"/>
    </row>
    <row r="173" spans="6:29" x14ac:dyDescent="0.3">
      <c r="F173" s="11">
        <v>0</v>
      </c>
      <c r="H173" s="11">
        <v>0</v>
      </c>
      <c r="Y173" s="11"/>
      <c r="Z173" s="11"/>
      <c r="AA173" s="11"/>
      <c r="AB173" s="11"/>
      <c r="AC173" s="11"/>
    </row>
    <row r="174" spans="6:29" x14ac:dyDescent="0.3">
      <c r="F174" s="11">
        <v>0</v>
      </c>
      <c r="H174" s="11">
        <v>0</v>
      </c>
      <c r="Y174" s="11"/>
      <c r="Z174" s="11"/>
      <c r="AA174" s="11"/>
      <c r="AB174" s="11"/>
      <c r="AC174" s="11"/>
    </row>
    <row r="175" spans="6:29" x14ac:dyDescent="0.3">
      <c r="F175" s="11">
        <v>0</v>
      </c>
      <c r="H175" s="11">
        <v>0</v>
      </c>
      <c r="Y175" s="11"/>
      <c r="Z175" s="11"/>
      <c r="AA175" s="11"/>
      <c r="AB175" s="11"/>
      <c r="AC175" s="11"/>
    </row>
    <row r="176" spans="6:29" x14ac:dyDescent="0.3">
      <c r="F176" s="11">
        <v>0</v>
      </c>
      <c r="H176" s="11">
        <v>0</v>
      </c>
      <c r="Y176" s="11"/>
      <c r="Z176" s="11"/>
      <c r="AA176" s="11"/>
      <c r="AB176" s="11"/>
      <c r="AC176" s="11"/>
    </row>
    <row r="177" spans="6:29" x14ac:dyDescent="0.3">
      <c r="F177" s="11">
        <v>0</v>
      </c>
      <c r="H177" s="11">
        <v>0</v>
      </c>
      <c r="Y177" s="11"/>
      <c r="Z177" s="11"/>
      <c r="AA177" s="11"/>
      <c r="AB177" s="11"/>
      <c r="AC177" s="11"/>
    </row>
    <row r="178" spans="6:29" x14ac:dyDescent="0.3">
      <c r="F178" s="11">
        <v>0</v>
      </c>
      <c r="H178" s="11">
        <v>0</v>
      </c>
      <c r="Y178" s="11"/>
      <c r="Z178" s="11"/>
      <c r="AA178" s="11"/>
      <c r="AB178" s="11"/>
      <c r="AC178" s="11"/>
    </row>
    <row r="179" spans="6:29" x14ac:dyDescent="0.3">
      <c r="F179" s="11">
        <v>0</v>
      </c>
      <c r="H179" s="11">
        <v>0</v>
      </c>
      <c r="Y179" s="11"/>
      <c r="Z179" s="11"/>
      <c r="AA179" s="11"/>
      <c r="AB179" s="11"/>
      <c r="AC179" s="11"/>
    </row>
    <row r="180" spans="6:29" x14ac:dyDescent="0.3">
      <c r="F180" s="11">
        <v>0</v>
      </c>
      <c r="H180" s="11">
        <v>0</v>
      </c>
      <c r="Y180" s="11"/>
      <c r="Z180" s="11"/>
      <c r="AA180" s="11"/>
      <c r="AB180" s="11"/>
      <c r="AC180" s="11"/>
    </row>
    <row r="181" spans="6:29" x14ac:dyDescent="0.3">
      <c r="F181" s="11">
        <v>0</v>
      </c>
      <c r="H181" s="11">
        <v>0</v>
      </c>
      <c r="Y181" s="11"/>
      <c r="Z181" s="11"/>
      <c r="AA181" s="11"/>
      <c r="AB181" s="11"/>
      <c r="AC181" s="11"/>
    </row>
    <row r="182" spans="6:29" x14ac:dyDescent="0.3">
      <c r="F182" s="11">
        <v>0</v>
      </c>
      <c r="H182" s="11">
        <v>0</v>
      </c>
      <c r="Y182" s="11"/>
      <c r="Z182" s="11"/>
      <c r="AA182" s="11"/>
      <c r="AB182" s="11"/>
      <c r="AC182" s="11"/>
    </row>
    <row r="183" spans="6:29" x14ac:dyDescent="0.3">
      <c r="F183" s="11">
        <v>0</v>
      </c>
      <c r="H183" s="11">
        <v>0</v>
      </c>
      <c r="Y183" s="11"/>
      <c r="Z183" s="11"/>
      <c r="AA183" s="11"/>
      <c r="AB183" s="11"/>
      <c r="AC183" s="11"/>
    </row>
    <row r="184" spans="6:29" x14ac:dyDescent="0.3">
      <c r="F184" s="11">
        <v>0</v>
      </c>
      <c r="H184" s="11">
        <v>0</v>
      </c>
      <c r="Y184" s="11"/>
      <c r="Z184" s="11"/>
      <c r="AA184" s="11"/>
      <c r="AB184" s="11"/>
      <c r="AC184" s="11"/>
    </row>
    <row r="185" spans="6:29" x14ac:dyDescent="0.3">
      <c r="F185" s="11">
        <v>0</v>
      </c>
      <c r="H185" s="11">
        <v>0</v>
      </c>
      <c r="Y185" s="11"/>
      <c r="Z185" s="11"/>
      <c r="AA185" s="11"/>
      <c r="AB185" s="11"/>
      <c r="AC185" s="11"/>
    </row>
    <row r="186" spans="6:29" x14ac:dyDescent="0.3">
      <c r="F186" s="11">
        <v>0</v>
      </c>
      <c r="H186" s="11">
        <v>0</v>
      </c>
      <c r="R186" s="13"/>
      <c r="Y186" s="11"/>
      <c r="Z186" s="11"/>
      <c r="AA186" s="11"/>
      <c r="AB186" s="11"/>
      <c r="AC186" s="11"/>
    </row>
    <row r="187" spans="6:29" x14ac:dyDescent="0.3">
      <c r="F187" s="11">
        <v>0</v>
      </c>
      <c r="H187" s="11">
        <v>0</v>
      </c>
      <c r="Y187" s="11"/>
      <c r="Z187" s="11"/>
      <c r="AA187" s="11"/>
      <c r="AB187" s="11"/>
      <c r="AC187" s="11"/>
    </row>
    <row r="188" spans="6:29" x14ac:dyDescent="0.3">
      <c r="F188" s="11">
        <v>0</v>
      </c>
      <c r="H188" s="11">
        <v>0</v>
      </c>
      <c r="Y188" s="11"/>
      <c r="Z188" s="11"/>
      <c r="AA188" s="11"/>
      <c r="AB188" s="11"/>
      <c r="AC188" s="11"/>
    </row>
    <row r="189" spans="6:29" x14ac:dyDescent="0.3">
      <c r="F189" s="11">
        <v>0</v>
      </c>
      <c r="H189" s="11">
        <v>0</v>
      </c>
      <c r="Y189" s="11"/>
      <c r="Z189" s="11"/>
      <c r="AA189" s="11"/>
      <c r="AB189" s="11"/>
      <c r="AC189" s="11"/>
    </row>
    <row r="190" spans="6:29" x14ac:dyDescent="0.3">
      <c r="F190" s="11">
        <v>0</v>
      </c>
      <c r="H190" s="11">
        <v>0</v>
      </c>
      <c r="Y190" s="11"/>
      <c r="Z190" s="11"/>
      <c r="AA190" s="11"/>
      <c r="AB190" s="11"/>
      <c r="AC190" s="11"/>
    </row>
    <row r="191" spans="6:29" x14ac:dyDescent="0.3">
      <c r="F191" s="11">
        <v>0</v>
      </c>
      <c r="H191" s="11">
        <v>0</v>
      </c>
      <c r="Y191" s="11"/>
      <c r="Z191" s="11"/>
      <c r="AA191" s="11"/>
      <c r="AB191" s="11"/>
      <c r="AC191" s="11"/>
    </row>
    <row r="192" spans="6:29" x14ac:dyDescent="0.3">
      <c r="F192" s="11">
        <v>0</v>
      </c>
      <c r="H192" s="11">
        <v>0</v>
      </c>
      <c r="Y192" s="11"/>
      <c r="Z192" s="11"/>
      <c r="AA192" s="11"/>
      <c r="AB192" s="11"/>
      <c r="AC192" s="11"/>
    </row>
    <row r="193" spans="6:29" x14ac:dyDescent="0.3">
      <c r="F193" s="11">
        <v>0</v>
      </c>
      <c r="H193" s="11">
        <v>0</v>
      </c>
      <c r="Y193" s="11"/>
      <c r="Z193" s="11"/>
      <c r="AA193" s="11"/>
      <c r="AB193" s="11"/>
      <c r="AC193" s="11"/>
    </row>
    <row r="194" spans="6:29" x14ac:dyDescent="0.3">
      <c r="F194" s="11">
        <v>0</v>
      </c>
      <c r="H194" s="11">
        <v>0</v>
      </c>
      <c r="Y194" s="11"/>
      <c r="Z194" s="11"/>
      <c r="AA194" s="11"/>
      <c r="AB194" s="11"/>
      <c r="AC194" s="11"/>
    </row>
    <row r="195" spans="6:29" x14ac:dyDescent="0.3">
      <c r="F195" s="11">
        <v>0</v>
      </c>
      <c r="H195" s="11">
        <v>0</v>
      </c>
      <c r="Y195" s="11"/>
      <c r="Z195" s="11"/>
      <c r="AA195" s="11"/>
      <c r="AB195" s="11"/>
      <c r="AC195" s="11"/>
    </row>
    <row r="196" spans="6:29" x14ac:dyDescent="0.3">
      <c r="F196" s="11">
        <v>0</v>
      </c>
      <c r="H196" s="11">
        <v>0</v>
      </c>
      <c r="Y196" s="11"/>
      <c r="Z196" s="11"/>
      <c r="AA196" s="11"/>
      <c r="AB196" s="11"/>
      <c r="AC196" s="11"/>
    </row>
    <row r="197" spans="6:29" x14ac:dyDescent="0.3">
      <c r="F197" s="11">
        <v>0</v>
      </c>
      <c r="H197" s="11">
        <v>0</v>
      </c>
      <c r="Y197" s="11"/>
      <c r="Z197" s="11"/>
      <c r="AA197" s="11"/>
      <c r="AB197" s="11"/>
      <c r="AC197" s="11"/>
    </row>
    <row r="198" spans="6:29" x14ac:dyDescent="0.3">
      <c r="F198" s="11">
        <v>0</v>
      </c>
      <c r="H198" s="11">
        <v>0</v>
      </c>
      <c r="Y198" s="11"/>
      <c r="Z198" s="11"/>
      <c r="AA198" s="11"/>
      <c r="AB198" s="11"/>
      <c r="AC198" s="11"/>
    </row>
    <row r="199" spans="6:29" x14ac:dyDescent="0.3">
      <c r="F199" s="11">
        <v>0</v>
      </c>
      <c r="H199" s="11">
        <v>0</v>
      </c>
      <c r="Y199" s="11"/>
      <c r="Z199" s="11"/>
      <c r="AA199" s="11"/>
      <c r="AB199" s="11"/>
      <c r="AC199" s="11"/>
    </row>
    <row r="200" spans="6:29" x14ac:dyDescent="0.3">
      <c r="F200" s="11">
        <v>0</v>
      </c>
      <c r="H200" s="11">
        <v>0</v>
      </c>
      <c r="Y200" s="11"/>
      <c r="Z200" s="11"/>
      <c r="AA200" s="11"/>
      <c r="AB200" s="11"/>
      <c r="AC200" s="11"/>
    </row>
    <row r="201" spans="6:29" x14ac:dyDescent="0.3">
      <c r="F201" s="11">
        <v>0</v>
      </c>
      <c r="H201" s="11">
        <v>0</v>
      </c>
      <c r="Y201" s="11"/>
      <c r="Z201" s="11"/>
      <c r="AA201" s="11"/>
      <c r="AB201" s="11"/>
      <c r="AC201" s="11"/>
    </row>
    <row r="202" spans="6:29" x14ac:dyDescent="0.3">
      <c r="F202" s="11">
        <v>0</v>
      </c>
      <c r="H202" s="11">
        <v>0</v>
      </c>
      <c r="Y202" s="11"/>
      <c r="Z202" s="11"/>
      <c r="AA202" s="11"/>
      <c r="AB202" s="11"/>
      <c r="AC202" s="11"/>
    </row>
    <row r="203" spans="6:29" x14ac:dyDescent="0.3">
      <c r="F203" s="11">
        <v>0</v>
      </c>
      <c r="H203" s="11">
        <v>0</v>
      </c>
      <c r="Y203" s="11"/>
      <c r="Z203" s="11"/>
      <c r="AA203" s="11"/>
      <c r="AB203" s="11"/>
      <c r="AC203" s="11"/>
    </row>
    <row r="204" spans="6:29" x14ac:dyDescent="0.3">
      <c r="F204" s="11">
        <v>0</v>
      </c>
      <c r="H204" s="11">
        <v>0</v>
      </c>
      <c r="Y204" s="11"/>
      <c r="Z204" s="11"/>
      <c r="AA204" s="11"/>
      <c r="AB204" s="11"/>
      <c r="AC204" s="11"/>
    </row>
    <row r="205" spans="6:29" x14ac:dyDescent="0.3">
      <c r="F205" s="11">
        <v>0</v>
      </c>
      <c r="H205" s="11">
        <v>0</v>
      </c>
      <c r="Y205" s="11"/>
      <c r="Z205" s="11"/>
      <c r="AA205" s="11"/>
      <c r="AB205" s="11"/>
      <c r="AC205" s="11"/>
    </row>
    <row r="206" spans="6:29" x14ac:dyDescent="0.3">
      <c r="F206" s="11">
        <v>0</v>
      </c>
      <c r="H206" s="11">
        <v>0</v>
      </c>
      <c r="Y206" s="11"/>
      <c r="Z206" s="11"/>
      <c r="AA206" s="11"/>
      <c r="AB206" s="11"/>
      <c r="AC206" s="11"/>
    </row>
    <row r="207" spans="6:29" x14ac:dyDescent="0.3">
      <c r="F207" s="11">
        <v>0</v>
      </c>
      <c r="H207" s="11">
        <v>0</v>
      </c>
      <c r="Y207" s="11"/>
      <c r="Z207" s="11"/>
      <c r="AA207" s="11"/>
      <c r="AB207" s="11"/>
      <c r="AC207" s="11"/>
    </row>
    <row r="208" spans="6:29" x14ac:dyDescent="0.3">
      <c r="F208" s="11">
        <v>0</v>
      </c>
      <c r="H208" s="11">
        <v>0</v>
      </c>
      <c r="Y208" s="11"/>
      <c r="Z208" s="11"/>
      <c r="AA208" s="11"/>
      <c r="AB208" s="11"/>
      <c r="AC208" s="11"/>
    </row>
    <row r="209" spans="1:29" x14ac:dyDescent="0.3">
      <c r="F209" s="11">
        <v>0</v>
      </c>
      <c r="H209" s="11">
        <v>0</v>
      </c>
      <c r="Y209" s="11"/>
      <c r="Z209" s="11"/>
      <c r="AA209" s="11"/>
      <c r="AB209" s="11"/>
      <c r="AC209" s="11"/>
    </row>
    <row r="210" spans="1:29" x14ac:dyDescent="0.3">
      <c r="A210" s="11" t="s">
        <v>57</v>
      </c>
      <c r="H210" s="11">
        <v>22</v>
      </c>
      <c r="I210" s="11">
        <v>22</v>
      </c>
      <c r="J210" s="11">
        <v>5</v>
      </c>
      <c r="K210" s="11">
        <v>5</v>
      </c>
      <c r="L210" s="11">
        <v>3</v>
      </c>
      <c r="M210" s="11">
        <v>3</v>
      </c>
      <c r="N210" s="11">
        <v>0</v>
      </c>
      <c r="O210" s="11">
        <v>0</v>
      </c>
      <c r="P210" s="11">
        <v>0</v>
      </c>
      <c r="Q210" s="11">
        <v>0</v>
      </c>
      <c r="R210" s="11">
        <v>0</v>
      </c>
      <c r="S210" s="11">
        <v>0</v>
      </c>
      <c r="T210" s="11">
        <v>0</v>
      </c>
      <c r="U210" s="11">
        <v>0</v>
      </c>
      <c r="V210" s="11"/>
      <c r="W210" s="11"/>
      <c r="X210" s="11">
        <v>0</v>
      </c>
      <c r="Y210" s="11">
        <v>0</v>
      </c>
      <c r="Z210" s="11"/>
      <c r="AA210" s="11"/>
      <c r="AB210" s="11"/>
      <c r="AC210" s="11"/>
    </row>
  </sheetData>
  <dataValidations count="1">
    <dataValidation type="list" showInputMessage="1" showErrorMessage="1" sqref="B1" xr:uid="{E208E381-A74B-4AC0-A088-3972BA22F39D}">
      <formula1>"Foglio1!$D$4:$Z$4"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7C1F1-CF2D-43FE-B93A-3BA35848683E}">
  <sheetPr codeName="Foglio3"/>
  <dimension ref="A1:AP110"/>
  <sheetViews>
    <sheetView tabSelected="1" zoomScale="70" zoomScaleNormal="70" workbookViewId="0">
      <selection activeCell="AS25" sqref="AS25"/>
    </sheetView>
  </sheetViews>
  <sheetFormatPr defaultRowHeight="14.4" x14ac:dyDescent="0.3"/>
  <cols>
    <col min="1" max="1" width="3.21875" style="19" customWidth="1"/>
    <col min="2" max="2" width="11.6640625" style="19" customWidth="1"/>
    <col min="3" max="3" width="8.6640625" style="56" customWidth="1"/>
    <col min="4" max="4" width="3.44140625" customWidth="1"/>
    <col min="5" max="5" width="8.6640625" style="56" customWidth="1"/>
    <col min="6" max="6" width="3.33203125" customWidth="1"/>
    <col min="7" max="7" width="8.6640625" customWidth="1"/>
    <col min="8" max="8" width="3.33203125" customWidth="1"/>
    <col min="9" max="9" width="8.6640625" customWidth="1"/>
    <col min="10" max="10" width="3.33203125" customWidth="1"/>
    <col min="11" max="11" width="8.6640625" customWidth="1"/>
    <col min="12" max="12" width="3.33203125" customWidth="1"/>
    <col min="13" max="13" width="8.6640625" customWidth="1"/>
    <col min="14" max="14" width="3.33203125" customWidth="1"/>
    <col min="15" max="15" width="8.6640625" customWidth="1"/>
    <col min="16" max="16" width="3.33203125" customWidth="1"/>
    <col min="17" max="17" width="8.6640625" customWidth="1"/>
    <col min="18" max="18" width="3.33203125" customWidth="1"/>
    <col min="19" max="19" width="8.6640625" customWidth="1"/>
    <col min="20" max="20" width="3.33203125" customWidth="1"/>
    <col min="21" max="21" width="8.6640625" customWidth="1"/>
    <col min="22" max="22" width="3.33203125" customWidth="1"/>
    <col min="23" max="23" width="8.6640625" customWidth="1"/>
    <col min="24" max="24" width="3.33203125" customWidth="1"/>
    <col min="25" max="25" width="8.6640625" customWidth="1"/>
    <col min="26" max="26" width="3.33203125" customWidth="1"/>
    <col min="27" max="27" width="8.6640625"/>
    <col min="28" max="28" width="4.21875" customWidth="1"/>
    <col min="29" max="29" width="8.6640625"/>
    <col min="30" max="30" width="3.88671875" customWidth="1"/>
    <col min="31" max="31" width="8.6640625"/>
    <col min="32" max="32" width="3.77734375" customWidth="1"/>
    <col min="33" max="33" width="8.6640625"/>
    <col min="34" max="34" width="4.109375" customWidth="1"/>
    <col min="35" max="35" width="8.6640625"/>
    <col min="36" max="36" width="4.21875" customWidth="1"/>
    <col min="37" max="37" width="8.6640625"/>
    <col min="38" max="38" width="3.88671875" customWidth="1"/>
    <col min="39" max="39" width="8.6640625"/>
    <col min="40" max="40" width="3.77734375" customWidth="1"/>
    <col min="41" max="41" width="8.6640625"/>
    <col min="42" max="42" width="4.109375" customWidth="1"/>
  </cols>
  <sheetData>
    <row r="1" spans="1:42" x14ac:dyDescent="0.3">
      <c r="B1" s="18" t="s">
        <v>61</v>
      </c>
      <c r="C1" s="79" t="s">
        <v>107</v>
      </c>
      <c r="D1" s="80"/>
      <c r="G1" t="s">
        <v>108</v>
      </c>
      <c r="U1" s="57"/>
      <c r="W1" t="s">
        <v>109</v>
      </c>
    </row>
    <row r="2" spans="1:42" x14ac:dyDescent="0.3">
      <c r="B2" s="18" t="s">
        <v>62</v>
      </c>
      <c r="C2" s="81" t="s">
        <v>110</v>
      </c>
      <c r="D2" s="82"/>
      <c r="U2" s="58"/>
      <c r="W2" t="s">
        <v>111</v>
      </c>
    </row>
    <row r="3" spans="1:42" x14ac:dyDescent="0.3">
      <c r="B3" s="18" t="s">
        <v>63</v>
      </c>
      <c r="C3" s="79" t="s">
        <v>112</v>
      </c>
      <c r="D3" s="80"/>
      <c r="E3" s="80"/>
      <c r="F3" s="80"/>
      <c r="G3" s="83" t="s">
        <v>113</v>
      </c>
      <c r="H3" s="83"/>
      <c r="I3" s="83"/>
      <c r="J3" s="83"/>
      <c r="K3" s="83"/>
      <c r="L3" s="83"/>
      <c r="U3" s="59"/>
      <c r="W3" t="s">
        <v>114</v>
      </c>
    </row>
    <row r="4" spans="1:42" x14ac:dyDescent="0.3">
      <c r="B4" s="60" t="s">
        <v>64</v>
      </c>
      <c r="C4" s="81" t="s">
        <v>115</v>
      </c>
      <c r="D4" s="82"/>
      <c r="E4" s="82"/>
      <c r="F4" s="82"/>
      <c r="G4" s="82"/>
      <c r="H4" s="82"/>
    </row>
    <row r="6" spans="1:42" x14ac:dyDescent="0.3">
      <c r="B6" s="15"/>
      <c r="C6" s="84" t="s">
        <v>60</v>
      </c>
      <c r="D6" s="84"/>
      <c r="E6" s="84"/>
      <c r="F6" s="24"/>
      <c r="G6" s="85" t="s">
        <v>52</v>
      </c>
      <c r="H6" s="85"/>
      <c r="I6" s="85"/>
      <c r="J6" s="24"/>
      <c r="K6" s="85" t="s">
        <v>50</v>
      </c>
      <c r="L6" s="85"/>
      <c r="M6" s="85"/>
      <c r="N6" s="85"/>
      <c r="O6" s="85" t="s">
        <v>49</v>
      </c>
      <c r="P6" s="85"/>
      <c r="Q6" s="85"/>
      <c r="R6" s="85"/>
      <c r="S6" s="85" t="s">
        <v>51</v>
      </c>
      <c r="T6" s="85"/>
      <c r="U6" s="85"/>
      <c r="V6" s="85"/>
      <c r="W6" s="78" t="s">
        <v>53</v>
      </c>
      <c r="X6" s="78"/>
      <c r="Y6" s="78"/>
      <c r="Z6" s="78"/>
      <c r="AA6" s="85" t="s">
        <v>54</v>
      </c>
      <c r="AB6" s="85"/>
      <c r="AC6" s="85"/>
      <c r="AD6" s="85"/>
      <c r="AE6" s="78" t="s">
        <v>48</v>
      </c>
      <c r="AF6" s="78"/>
      <c r="AG6" s="78"/>
      <c r="AH6" s="78"/>
      <c r="AI6" s="85" t="s">
        <v>55</v>
      </c>
      <c r="AJ6" s="85"/>
      <c r="AK6" s="85"/>
      <c r="AL6" s="85"/>
      <c r="AM6" s="78" t="s">
        <v>56</v>
      </c>
      <c r="AN6" s="78"/>
      <c r="AO6" s="78"/>
      <c r="AP6" s="78"/>
    </row>
    <row r="7" spans="1:42" x14ac:dyDescent="0.3">
      <c r="A7" s="78"/>
      <c r="B7" s="18" t="s">
        <v>61</v>
      </c>
      <c r="C7" s="21">
        <f>AVERAGE(C12,C15,C18,C21,C24,C27,C30,C33,C36,C39,C42,C45,C48,C51,C54,C57,C60,C63,C66,C69,C72,C75,C78,C81,C84,C87,C90,C93,C96,C99)</f>
        <v>6.8533333333333344</v>
      </c>
      <c r="D7" s="20" t="e">
        <f>SUM(D12,D15,D18,D21,D24,D27,D30,D33,D36,D39,D42,D45,D48,D51,D54,D57,D60,D63,D66,D69,D72,D75,D78,D81,D84,D87,D90,D93,D96,D99,D102,D105,D108)</f>
        <v>#N/A</v>
      </c>
      <c r="E7" s="21">
        <f>AVERAGE(E12,E15,E18,E21,E24,E27,E30,E33,E36,E39,E42,E45,E48,E51,E54,E57,E60,E63,E66,E69,E72,E75,E78,E81,E84,E87,E90,E93,E96,E99)</f>
        <v>76.333333333333329</v>
      </c>
      <c r="F7" s="20"/>
      <c r="G7" s="21">
        <f>AVERAGE(G12,G15,G18,G21,G24,G27,G30,G33,G36,G39,G42,G45,G48,G51,G54,G57,G60,G63,G66,G69,G72,G75,G78,G81,G84,G87,G90,G93,G96,G99)</f>
        <v>6.3933333333333335</v>
      </c>
      <c r="H7" s="20" t="e">
        <f>SUM(H12,H15,H18,H21,H24,H27,H30,H33,H36,H39,H42,H45,H48,H51,H54,H57,H60,H63,H66,H69,H72,H75,H78,H81,H84,H87,H90,H93,H96,H99,H102,H105,H108)</f>
        <v>#N/A</v>
      </c>
      <c r="I7" s="21">
        <f>AVERAGE(I12,I15,I18,I21,I24,I27,I30,I33,I36,I39,I42,I45,I48,I51,I54,I57,I60,I63,I66,I69,I72,I75,I78,I81,I84,I87,I90,I93,I96,I99)</f>
        <v>70.333333333333329</v>
      </c>
      <c r="J7" s="20"/>
      <c r="K7" s="21">
        <f>AVERAGE(K12,K15,K18,K21,K24,K27,K30,K33,K36,K39,K42,K45,K48,K51,K54,K57,K60,K63,K66,K69,K72,K75,K78,K81,K84,K87,K90,K93,K96,K99)</f>
        <v>6.5033333333333339</v>
      </c>
      <c r="L7" s="20" t="e">
        <f>SUM(L12,L15,L18,L21,L24,L27,L30,L33,L36,L39,L42,L45,L48,L51,L54,L57,L60,L63,L66,L69,L72,L75,L78,L81,L84,L87,L90,L93,L96,L99,L102,L105,L108)</f>
        <v>#N/A</v>
      </c>
      <c r="M7" s="21">
        <f>AVERAGE(M12,M15,M18,M21,M24,M27,M30,M33,M36,M39,M42,M45,M48,M51,M54,M57,M60,M63,M66,M69,M72,M75,M78,M81,M84,M87,M90,M93,M96,M99)</f>
        <v>71.5</v>
      </c>
      <c r="N7" s="20"/>
      <c r="O7" s="21">
        <f>AVERAGE(O12,O15,O18,O21,O24,O27,O30,O33,O36,O39,O42,O45,O48,O51,O54,O57,O60,O63,O66,O69,O72,O75,O78,O81,O84,O87,O90,O93,O96,O99)</f>
        <v>6.4233333333333329</v>
      </c>
      <c r="P7" s="20" t="e">
        <f>SUM(P12,P15,P18,P21,P24,P27,P30,P33,P36,P39,P42,P45,P48,P51,P54,P57,P60,P63,P66,P69,P72,P75,P78,P81,P84,P87,P90,P93,P96,P99,P102,P105,P108)</f>
        <v>#N/A</v>
      </c>
      <c r="Q7" s="21">
        <f>AVERAGE(Q12,Q15,Q18,Q21,Q24,Q27,Q30,Q33,Q36,Q39,Q42,Q45,Q48,Q51,Q54,Q57,Q60,Q63,Q66,Q69,Q72,Q75,Q78,Q81,Q84,Q87,Q90,Q93,Q96,Q99)</f>
        <v>72</v>
      </c>
      <c r="R7" s="20"/>
      <c r="S7" s="21">
        <f>AVERAGE(S12,S15,S18,S21,S24,S27,S30,S33,S36,S39,S42,S45,S48,S51,S54,S57,S60,S63,S66,S69,S72,S75,S78,S81,S84,S87,S90,S93,S96,S99)</f>
        <v>7.1533333333333333</v>
      </c>
      <c r="T7" s="20" t="e">
        <f>SUM(T12,T15,T18,T21,T24,T27,T30,T33,T36,T39,T42,T45,T48,T51,T54,T57,T60,T63,T66,T69,T72,T75,T78,T81,T84,T87,T90,T93,T96,T99,T102,T105,T108)</f>
        <v>#N/A</v>
      </c>
      <c r="U7" s="21">
        <f>AVERAGE(U12,U15,U18,U21,U24,U27,U30,U33,U36,U39,U42,U45,U48,U51,U54,U57,U60,U63,U66,U69,U72,U75,U78,U81,U84,U87,U90,U93,U96,U99)</f>
        <v>78.666666666666671</v>
      </c>
      <c r="V7" s="20"/>
      <c r="W7" s="21">
        <f>AVERAGE(W12,W15,W18,W21,W24,W27,W30,W33,W36,W39,W42,W45,W48,W51,W54,W57,W60,W63,W66,W69,W72,W75,W78,W81,W84,W87,W90,W93,W96,W99)</f>
        <v>6.2733333333333334</v>
      </c>
      <c r="X7" s="25" t="e">
        <f>SUM(X12,X15,X18,X21,X24,X27,X30,X33,X36,X39,X42,X45,X48,X51,X54,X57,X60,X63,X66,X69,X72,X75,X78,X81,X84,X87,X90,X93,X96,X99,X102,X105,X108)</f>
        <v>#N/A</v>
      </c>
      <c r="Y7" s="21">
        <f>AVERAGE(Y12,Y15,Y18,Y21,Y24,Y27,Y30,Y33,Y36,Y39,Y42,Y45,Y48,Y51,Y54,Y57,Y60,Y63,Y66,Y69,Y72,Y75,Y78,Y81,Y84,Y87,Y90,Y93,Y96,Y99)</f>
        <v>69</v>
      </c>
      <c r="Z7" s="20"/>
      <c r="AA7" s="21">
        <f>AVERAGE(AA12,AA15,AA18,AA21,AA24,AA27,AA30,AA33,AA36,AA39,AA42,AA45,AA48,AA51,AA54,AA57,AA60,AA63,AA66,AA69,AA72,AA75,AA78,AA81,AA84,AA87,AA90,AA93,AA96,AA99)</f>
        <v>6.456666666666667</v>
      </c>
      <c r="AB7" s="20" t="e">
        <f>SUM(AB12,AB15,AB18,AB21,AB24,AB27,AB30,AB33,AB36,AB39,AB42,AB45,AB48,AB51,AB54,AB57,AB60,AB63,AB66,AB69,AB72,AB75,AB78,AB81,AB84,AB87,AB90,AB93,AB96,AB99,AB102,AB105,AB108)</f>
        <v>#N/A</v>
      </c>
      <c r="AC7" s="21">
        <f>AVERAGE(AC12,AC15,AC18,AC21,AC24,AC27,AC30,AC33,AC36,AC39,AC42,AC45,AC48,AC51,AC54,AC57,AC60,AC63,AC66,AC69,AC72,AC75,AC78,AC81,AC84,AC87,AC90,AC93,AC96,AC99)</f>
        <v>71</v>
      </c>
      <c r="AD7" s="20"/>
      <c r="AE7" s="21">
        <f>AVERAGE(AE12,AE15,AE18,AE21,AE24,AE27,AE30,AE33,AE36,AE39,AE42,AE45,AE48,AE51,AE54,AE57,AE60,AE63,AE66,AE69,AE72,AE75,AE78,AE81,AE84,AE87,AE90,AE93,AE96,AE99)</f>
        <v>6.253333333333333</v>
      </c>
      <c r="AF7" s="25" t="e">
        <f>SUM(AF12,AF15,AF18,AF21,AF24,AF27,AF30,AF33,AF36,AF39,AF42,AF45,AF48,AF51,AF54,AF57,AF60,AF63,AF66,AF69,AF72,AF75,AF78,AF81,AF84,AF87,AF90,AF93,AF96,AF99,AF102,AF105,AF108)</f>
        <v>#N/A</v>
      </c>
      <c r="AG7" s="21">
        <f>AVERAGE(AG12,AG15,AG18,AG21,AG24,AG27,AG30,AG33,AG36,AG39,AG42,AG45,AG48,AG51,AG54,AG57,AG60,AG63,AG66,AG69,AG72,AG75,AG78,AG81,AG84,AG87,AG90,AG93,AG96,AG99)</f>
        <v>68.833333333333329</v>
      </c>
      <c r="AH7" s="20"/>
      <c r="AI7" s="21">
        <f>AVERAGE(AI12,AI15,AI18,AI21,AI24,AI27,AI30,AI33,AI36,AI39,AI42,AI45,AI48,AI51,AI54,AI57,AI60,AI63,AI66,AI69,AI72,AI75,AI78,AI81,AI84,AI87,AI90,AI93,AI96,AI99)</f>
        <v>6.62</v>
      </c>
      <c r="AJ7" s="20" t="e">
        <f>SUM(AJ12,AJ15,AJ18,AJ21,AJ24,AJ27,AJ30,AJ33,AJ36,AJ39,AJ42,AJ45,AJ48,AJ51,AJ54,AJ57,AJ60,AJ63,AJ66,AJ69,AJ72,AJ75,AJ78,AJ81,AJ84,AJ87,AJ90,AJ93,AJ96,AJ99,AJ102,AJ105,AJ108)</f>
        <v>#N/A</v>
      </c>
      <c r="AK7" s="21">
        <f>AVERAGE(AK12,AK15,AK18,AK21,AK24,AK27,AK30,AK33,AK36,AK39,AK42,AK45,AK48,AK51,AK54,AK57,AK60,AK63,AK66,AK69,AK72,AK75,AK78,AK81,AK84,AK87,AK90,AK93,AK96,AK99)</f>
        <v>72.833333333333329</v>
      </c>
      <c r="AL7" s="20"/>
      <c r="AM7" s="21">
        <f>AVERAGE(AM12,AM15,AM18,AM21,AM24,AM27,AM30,AM33,AM36,AM39,AM42,AM45,AM48,AM51,AM54,AM57,AM60,AM63,AM66,AM69,AM72,AM75,AM78,AM81,AM84,AM87,AM90,AM93,AM96,AM99)</f>
        <v>6.2566666666666668</v>
      </c>
      <c r="AN7" s="25" t="e">
        <f>SUM(AN12,AN15,AN18,AN21,AN24,AN27,AN30,AN33,AN36,AN39,AN42,AN45,AN48,AN51,AN54,AN57,AN60,AN63,AN66,AN69,AN72,AN75,AN78,AN81,AN84,AN87,AN90,AN93,AN96,AN99,AN102,AN105,AN108)</f>
        <v>#N/A</v>
      </c>
      <c r="AO7" s="21">
        <f>AVERAGE(AO12,AO15,AO18,AO21,AO24,AO27,AO30,AO33,AO36,AO39,AO42,AO45,AO48,AO51,AO54,AO57,AO60,AO63,AO66,AO69,AO72,AO75,AO78,AO81,AO84,AO87,AO90,AO93,AO96,AO99)</f>
        <v>68.833333333333329</v>
      </c>
      <c r="AP7" s="20"/>
    </row>
    <row r="8" spans="1:42" x14ac:dyDescent="0.3">
      <c r="A8" s="78"/>
      <c r="B8" s="18" t="s">
        <v>62</v>
      </c>
      <c r="C8" s="21">
        <f>AVERAGE(C13,C16,C19,C22,C25,C28,C31,C34,C37,C40,C43,C46,C49,C52,C55,C58,C61,C64,C67,C70,C73,C76,C79,C82,C85,C88,C91,C94,C97,C100)</f>
        <v>6.6933333333333342</v>
      </c>
      <c r="D8" s="20" t="e">
        <f>SUM(D13,D16,D19,D22,D25,D28,D31,D34,D37,D40,D43,D46,D49,D52,D55,D58,D61,D64,D67,D70,D73,D76,D79,D82,D85,D88,D91,D94,D97,D100,D103,D106,D109)</f>
        <v>#N/A</v>
      </c>
      <c r="E8" s="29"/>
      <c r="F8" s="20" t="e">
        <f>SUM(F13,F16,F19,F22,F25,F28,F31,F34,F37,F40,F43,F46,F49,F52,F55,F58,F61,F64,F67,F70,F73,F76,F79,F82,F85,F88,F91,F94,F97,F100,F103,F106,F109)</f>
        <v>#VALUE!</v>
      </c>
      <c r="G8" s="21">
        <f>AVERAGE(G13,G16,G19,G22,G25,G28,G31,G34,G37,G40,G43,G46,G49,G52,G55,G58,G61,G64,G67,G70,G73,G76,G79,G82,G85,G88,G91,G94,G97,G100)</f>
        <v>6.2333333333333334</v>
      </c>
      <c r="H8" s="20" t="e">
        <f>SUM(H13,H16,H19,H22,H25,H28,H31,H34,H37,H40,H43,H46,H49,H52,H55,H58,H61,H64,H67,H70,H73,H76,H79,H82,H85,H88,H91,H94,H97,H100,H103,H106,H109)</f>
        <v>#N/A</v>
      </c>
      <c r="I8" s="61"/>
      <c r="J8" s="20" t="e">
        <f>SUM(J13,J16,J19,J22,J25,J28,J31,J34,J37,J40,J43,J46,J49,J52,J55,J58,J61,J64,J67,J70,J73,J76,J79,J82,J85,J88,J91,J94,J97,J100,J103,J106,J109)</f>
        <v>#VALUE!</v>
      </c>
      <c r="K8" s="21">
        <f>AVERAGE(K13,K16,K19,K22,K25,K28,K31,K34,K37,K40,K43,K46,K49,K52,K55,K58,K61,K64,K67,K70,K73,K76,K79,K82,K85,K88,K91,K94,K97,K100)</f>
        <v>6.19</v>
      </c>
      <c r="L8" s="20" t="e">
        <f>SUM(L13,L16,L19,L22,L25,L28,L31,L34,L37,L40,L43,L46,L49,L52,L55,L58,L61,L64,L67,L70,L73,L76,L79,L82,L85,L88,L91,L94,L97,L100,L103,L106,L109)</f>
        <v>#N/A</v>
      </c>
      <c r="M8" s="61"/>
      <c r="N8" s="20" t="e">
        <f>SUM(N13,N16,N19,N22,N25,N28,N31,N34,N37,N40,N43,N46,N49,N52,N55,N58,N61,N64,N67,N70,N73,N76,N79,N82,N85,N88,N91,N94,N97,N100,N103,N106,N109)</f>
        <v>#VALUE!</v>
      </c>
      <c r="O8" s="21">
        <f>AVERAGE(O13,O16,O19,O22,O25,O28,O31,O34,O37,O40,O43,O46,O49,O52,O55,O58,O61,O64,O67,O70,O73,O76,O79,O82,O85,O88,O91,O94,O97,O100)</f>
        <v>6.2466666666666661</v>
      </c>
      <c r="P8" s="20" t="e">
        <f>SUM(P13,P16,P19,P22,P25,P28,P31,P34,P37,P40,P43,P46,P49,P52,P55,P58,P61,P64,P67,P70,P73,P76,P79,P82,P85,P88,P91,P94,P97,P100,P103,P106,P109)</f>
        <v>#N/A</v>
      </c>
      <c r="Q8" s="61"/>
      <c r="R8" s="20" t="e">
        <f>SUM(R13,R16,R19,R22,R25,R28,R31,R34,R37,R40,R43,R46,R49,R52,R55,R58,R61,R64,R67,R70,R73,R76,R79,R82,R85,R88,R91,R94,R97,R100,R103,R106,R109)</f>
        <v>#VALUE!</v>
      </c>
      <c r="S8" s="21">
        <f>AVERAGE(S13,S16,S19,S22,S25,S28,S31,S34,S37,S40,S43,S46,S49,S52,S55,S58,S61,S64,S67,S70,S73,S76,S79,S82,S85,S88,S91,S94,S97,S100)</f>
        <v>6.8966666666666656</v>
      </c>
      <c r="T8" s="20" t="e">
        <f>SUM(T13,T16,T19,T22,T25,T28,T31,T34,T37,T40,T43,T46,T49,T52,T55,T58,T61,T64,T67,T70,T73,T76,T79,T82,T85,T88,T91,T94,T97,T100,T103,T106,T109)</f>
        <v>#N/A</v>
      </c>
      <c r="U8" s="61"/>
      <c r="V8" s="20" t="e">
        <f>SUM(U13,V16,V19,V22,V25,V28,V31,V34,V37,V40,V43,V46,V49,V52,V55,V58,V61,V64,V67,V70,V73,V76,V79,V82,V85,V88,V91,V94,V97,V100,V103,V106,V109)</f>
        <v>#VALUE!</v>
      </c>
      <c r="W8" s="21">
        <f>AVERAGE(W13,W16,W19,W22,W25,W28,W31,W34,W37,W40,W43,W46,W49,W52,W55,W58,W61,W64,W67,W70,W73,W76,W79,W82,W85,W88,W91,W94,W97,W100)</f>
        <v>6.0866666666666669</v>
      </c>
      <c r="X8" s="25" t="e">
        <f>SUM(X13,X16,X19,X22,X25,X28,X31,X34,X37,X40,X43,X46,X49,X52,X55,X58,X61,X64,X67,X70,X73,X76,X79,X82,X85,X88,X91,X94,X97,X100,X103,X106,X109)</f>
        <v>#N/A</v>
      </c>
      <c r="Y8" s="6"/>
      <c r="Z8" s="20" t="e">
        <f>SUM(Z13,Z16,Z19,Z22,Z25,Z28,Z31,Z34,Z37,Z40,Z43,Z46,Z49,Z52,Z55,Z58,Z61,Z64,Z67,Z70,Z73,Z76,Z79,Z82,Z85,Z88,Z91,Z94,Z97,Z100,Z103,Z106,Z109)</f>
        <v>#VALUE!</v>
      </c>
      <c r="AA8" s="21">
        <f>AVERAGE(AA13,AA16,AA19,AA22,AA25,AA28,AA31,AA34,AA37,AA40,AA43,AA46,AA49,AA52,AA55,AA58,AA61,AA64,AA67,AA70,AA73,AA76,AA79,AA82,AA85,AA88,AA91,AA94,AA97,AA100)</f>
        <v>6.2033333333333331</v>
      </c>
      <c r="AB8" s="20" t="e">
        <f>SUM(AB13,AB16,AB19,AB22,AB25,AB28,AB31,AB34,AB37,AB40,AB43,AB46,AB49,AB52,AB55,AB58,AB61,AB64,AB67,AB70,AB73,AB76,AB79,AB82,AB85,AB88,AB91,AB94,AB97,AB100,AB103,AB106,AB109)</f>
        <v>#N/A</v>
      </c>
      <c r="AC8" s="61"/>
      <c r="AD8" s="20" t="e">
        <f>SUM(AD13,AD16,AD19,AD22,AD25,AD28,AD31,AD34,AD37,AD40,AD43,AD46,AD49,AD52,AD55,AD58,AD61,AD64,AD67,AD70,AD73,AD76,AD79,AD82,AD85,AD88,AD91,AD94,AD97,AD100,AD103,AD106,AD109)</f>
        <v>#VALUE!</v>
      </c>
      <c r="AE8" s="21">
        <f>AVERAGE(AE13,AE16,AE19,AE22,AE25,AE28,AE31,AE34,AE37,AE40,AE43,AE46,AE49,AE52,AE55,AE58,AE61,AE64,AE67,AE70,AE73,AE76,AE79,AE82,AE85,AE88,AE91,AE94,AE97,AE100)</f>
        <v>6.2233333333333327</v>
      </c>
      <c r="AF8" s="25" t="e">
        <f>SUM(AF13,AF16,AF19,AF22,AF25,AF28,AF31,AF34,AF37,AF40,AF43,AF46,AF49,AF52,AF55,AF58,AF61,AF64,AF67,AF70,AF73,AF76,AF79,AF82,AF85,AF88,AF91,AF94,AF97,AF100,AF103,AF106,AF109)</f>
        <v>#N/A</v>
      </c>
      <c r="AG8" s="6"/>
      <c r="AH8" s="20" t="e">
        <f>SUM(AH13,AH16,AH19,AH22,AH25,AH28,AH31,AH34,AH37,AH40,AH43,AH46,AH49,AH52,AH55,AH58,AH61,AH64,AH67,AH70,AH73,AH76,AH79,AH82,AH85,AH88,AH91,AH94,AH97,AH100,AH103,AH106,AH109)</f>
        <v>#VALUE!</v>
      </c>
      <c r="AI8" s="21">
        <f>AVERAGE(AI13,AI16,AI19,AI22,AI25,AI28,AI31,AI34,AI37,AI40,AI43,AI46,AI49,AI52,AI55,AI58,AI61,AI64,AI67,AI70,AI73,AI76,AI79,AI82,AI85,AI88,AI91,AI94,AI97,AI100)</f>
        <v>6.38</v>
      </c>
      <c r="AJ8" s="20" t="e">
        <f>SUM(AJ13,AJ16,AJ19,AJ22,AJ25,AJ28,AJ31,AJ34,AJ37,AJ40,AJ43,AJ46,AJ49,AJ52,AJ55,AJ58,AJ61,AJ64,AJ67,AJ70,AJ73,AJ76,AJ79,AJ82,AJ85,AJ88,AJ91,AJ94,AJ97,AJ100,AJ103,AJ106,AJ109)</f>
        <v>#N/A</v>
      </c>
      <c r="AK8" s="61"/>
      <c r="AL8" s="20" t="e">
        <f>SUM(AL13,AL16,AL19,AL22,AL25,AL28,AL31,AL34,AL37,AL40,AL43,AL46,AL49,AL52,AL55,AL58,AL61,AL64,AL67,AL70,AL73,AL76,AL79,AL82,AL85,AL88,AL91,AL94,AL97,AL100,AL103,AL106,AL109)</f>
        <v>#VALUE!</v>
      </c>
      <c r="AM8" s="21">
        <f>AVERAGE(AM13,AM16,AM19,AM22,AM25,AM28,AM31,AM34,AM37,AM40,AM43,AM46,AM49,AM52,AM55,AM58,AM61,AM64,AM67,AM70,AM73,AM76,AM79,AM82,AM85,AM88,AM91,AM94,AM97,AM100)</f>
        <v>6.5</v>
      </c>
      <c r="AN8" s="25" t="e">
        <f>SUM(AN13,AN16,AN19,AN22,AN25,AN28,AN31,AN34,AN37,AN40,AN43,AN46,AN49,AN52,AN55,AN58,AN61,AN64,AN67,AN70,AN73,AN76,AN79,AN82,AN85,AN88,AN91,AN94,AN97,AN100,AN103,AN106,AN109)</f>
        <v>#N/A</v>
      </c>
      <c r="AO8" s="6"/>
      <c r="AP8" s="20" t="e">
        <f>SUM(AP13,AP16,AP19,AP22,AP25,AP28,AP31,AP34,AP37,AP40,AP43,AP46,AP49,AP52,AP55,AP58,AP61,AP64,AP67,AP70,AP73,AP76,AP79,AP82,AP85,AP88,AP91,AP94,AP97,AP100,AP103,AP106,AP109)</f>
        <v>#VALUE!</v>
      </c>
    </row>
    <row r="9" spans="1:42" x14ac:dyDescent="0.3">
      <c r="A9" s="78"/>
      <c r="B9" s="18" t="s">
        <v>63</v>
      </c>
      <c r="C9" s="21">
        <f>AVERAGE(C14,C17,C20,C23,C26,C29,C32,C35,C38,C41,C44,C47,C50,C53,C56,C59,C62,C65,C68,C71,C74,C77,C80,C83,C86,C89,C92,C95,C98,C101)</f>
        <v>7.59</v>
      </c>
      <c r="D9" s="20" t="e">
        <f>SUM(D14,D17,D20,D23,D26,D29,D32,D35,D38,D41,D44,D47,D50,D53,D56,D59,D62,D65,D68,D71,D74,D77,D80,D83,D86,D89,D92,D95,D98,D101,D104,D107,D110)</f>
        <v>#N/A</v>
      </c>
      <c r="E9" s="21">
        <f>AVERAGE(E14,E17,E20,E23,E26,E29,E32,E35,E38,E41,E44,E47,E50,E53,E56,E59,E62,E65,E68,E71,E74,E77,E80,E83,E86,E89,E92,E95,E98,E101)</f>
        <v>83.833333333333329</v>
      </c>
      <c r="F9" s="20" t="e">
        <f>SUM(F14,F17,F20,F23,F26,F29,F32,F35,F38,F41,F44,F47,F50,F53,F56,F59,F62,F65,F68,F71,F74,F77,F80,F83,F86,F89,F92,F95,F98,F101,F104,F107,F110)</f>
        <v>#VALUE!</v>
      </c>
      <c r="G9" s="21">
        <f>AVERAGE(G14,G17,G20,G23,G26,G29,G32,G35,G38,G41,G44,G47,G50,G53,G56,G59,G62,G65,G68,G71,G74,G77,G80,G83,G86,G89,G92,G95,G98,G101)</f>
        <v>6.8633333333333333</v>
      </c>
      <c r="H9" s="20" t="e">
        <f>SUM(H14,H17,H20,H23,H26,H29,H32,H35,H38,H41,H44,H47,H50,H53,H56,H59,H62,H65,H68,H71,H74,H77,H80,H83,H86,H89,H92,H95,H98,H101,H104,H107,H110)</f>
        <v>#N/A</v>
      </c>
      <c r="I9" s="21">
        <f>AVERAGE(I14,I17,I20,I23,I26,I29,I32,I35,I38,I41,I44,I47,I50,I53,I56,I59,I62,I65,I68,I71,I74,I77,I80,I83,I86,I89,I92,I95,I98,I101)</f>
        <v>78.666666666666671</v>
      </c>
      <c r="J9" s="20" t="e">
        <f>SUM(J14,J17,J20,J23,J26,J29,J32,J35,J38,J41,J44,J47,J50,J53,J56,J59,J62,J65,J68,J71,J74,J77,J80,J83,J86,J89,J92,J95,J98,J101,J104,J107,J110)</f>
        <v>#VALUE!</v>
      </c>
      <c r="K9" s="21">
        <f>AVERAGE(K14,K17,K20,K23,K26,K29,K32,K35,K38,K41,K44,K47,K50,K53,K56,K59,K62,K65,K68,K71,K74,K77,K80,K83,K86,K89,K92,K95,K98,K101)</f>
        <v>6.7566666666666668</v>
      </c>
      <c r="L9" s="20" t="e">
        <f>SUM(L14,L17,L20,L23,L26,L29,L32,L35,L38,L41,L44,L47,L50,L53,L56,L59,L62,L65,L68,L71,L74,L77,L80,L83,L86,L89,L92,L95,L98,L101,L104,L107,L110)</f>
        <v>#N/A</v>
      </c>
      <c r="M9" s="21">
        <f>AVERAGE(M14,M17,M20,M23,M26,M29,M32,M35,M38,M41,M44,M47,M50,M53,M56,M59,M62,M65,M68,M71,M74,M77,M80,M83,M86,M89,M92,M95,M98,M101)</f>
        <v>76.166666666666671</v>
      </c>
      <c r="N9" s="20" t="e">
        <f>SUM(N14,N17,N20,N23,N26,N29,N32,N35,N38,N41,N44,N47,N50,N53,N56,N59,N62,N65,N68,N71,N74,N77,N80,N83,N86,N89,N92,N95,N98,N101,N104,N107,N110)</f>
        <v>#VALUE!</v>
      </c>
      <c r="O9" s="21">
        <f>AVERAGE(O14,O17,O20,O23,O26,O29,O32,O35,O38,O41,O44,O47,O50,O53,O56,O59,O62,O65,O68,O71,O74,O77,O80,O83,O86,O89,O92,O95,O98,O101)</f>
        <v>7.166666666666667</v>
      </c>
      <c r="P9" s="20" t="e">
        <f>SUM(P14,P17,P20,P23,P26,P29,P32,P35,P38,P41,P44,P47,P50,P53,P56,P59,P62,P65,P68,P71,P74,P77,P80,P83,P86,P89,P92,P95,P98,P101,P104,P107,P110)</f>
        <v>#N/A</v>
      </c>
      <c r="Q9" s="21">
        <f>AVERAGE(Q14,Q17,Q20,Q23,Q26,Q29,Q32,Q35,Q38,Q41,Q44,Q47,Q50,Q53,Q56,Q59,Q62,Q65,Q68,Q71,Q74,Q77,Q80,Q83,Q86,Q89,Q92,Q95,Q98,Q101)</f>
        <v>80.5</v>
      </c>
      <c r="R9" s="20" t="e">
        <f>SUM(R14,R17,R20,R23,R26,R29,R32,R35,R38,R41,R44,R47,R50,R53,R56,R59,R62,R65,R68,R71,R74,R77,R80,R83,R86,R89,R92,R95,R98,R101,R104,R107,R110)</f>
        <v>#VALUE!</v>
      </c>
      <c r="S9" s="21">
        <f>AVERAGE(S14,S17,S20,S23,S26,S29,S32,S35,S38,S41,S44,S47,S50,S53,S56,S59,S62,S65,S68,S71,S74,S77,S80,S83,S86,S89,S92,S95,S98,S101)</f>
        <v>7.833333333333333</v>
      </c>
      <c r="T9" s="20" t="e">
        <f>SUM(T14,T17,T20,T23,T26,T29,T32,T35,T38,T41,T44,T47,T50,T53,T56,T59,T62,T65,T68,T71,T74,T77,T80,T83,T86,T89,T92,T95,T98,T101,T104,T107,T110)</f>
        <v>#N/A</v>
      </c>
      <c r="U9" s="21">
        <f>AVERAGE(U14,U17,U20,U23,U26,U29,U32,U35,U38,U41,U44,U47,U50,U53,U56,U59,U62,U65,U68,U71,U74,U77,U80,U83,U86,U89,U92,U95,U98,U101)</f>
        <v>87.166666666666671</v>
      </c>
      <c r="V9" s="20" t="e">
        <f>SUM(V14,V17,V20,V23,V26,V29,V32,V35,V38,V41,V44,V47,V50,V53,V56,V59,V62,V65,V68,V71,V74,V77,V80,V83,V86,V89,V92,V95,V98,V101,V104,V107,V110)</f>
        <v>#VALUE!</v>
      </c>
      <c r="W9" s="21">
        <f>AVERAGE(W14,W17,W20,W23,W26,W29,W32,W35,W38,W41,W44,W47,W50,W53,W56,W59,W62,W65,W68,W71,W74,W77,W80,W83,W86,W89,W92,W95,W98,W101)</f>
        <v>6.6366666666666667</v>
      </c>
      <c r="X9" s="25" t="e">
        <f>SUM(X14,X17,X20,X23,X26,X29,X32,X35,X38,X41,X44,X47,X50,X53,X56,X59,X62,X65,X68,X71,X74,X77,X80,X83,X86,X89,X92,X95,X98,X101,X104,X107,X110)</f>
        <v>#N/A</v>
      </c>
      <c r="Y9" s="21">
        <f>AVERAGE(Y14,Y17,Y20,Y23,Y26,Y29,Y32,Y35,Y38,Y41,Y44,Y47,Y50,Y53,Y56,Y59,Y62,Y65,Y68,Y71,Y74,Y77,Y80,Y83,Y86,Y89,Y92,Y95,Y98,Y101)</f>
        <v>73.333333333333329</v>
      </c>
      <c r="Z9" s="20" t="e">
        <f>SUM(Z14,Z17,Z20,Z23,Z26,Z29,Z32,Z35,Z38,Z41,Z44,Z47,Z50,Z53,Z56,Z59,Z62,Z65,Z68,Z71,Z74,Z77,Z80,Z83,Z86,Z89,Z92,Z95,Z98,Z101,Z104,Z107,Z110)</f>
        <v>#VALUE!</v>
      </c>
      <c r="AA9" s="21">
        <f>AVERAGE(AA14,AA17,AA20,AA23,AA26,AA29,AA32,AA35,AA38,AA41,AA44,AA47,AA50,AA53,AA56,AA59,AA62,AA65,AA68,AA71,AA74,AA77,AA80,AA83,AA86,AA89,AA92,AA95,AA98,AA101)</f>
        <v>6.7566666666666668</v>
      </c>
      <c r="AB9" s="20" t="e">
        <f>SUM(AB14,AB17,AB20,AB23,AB26,AB29,AB32,AB35,AB38,AB41,AB44,AB47,AB50,AB53,AB56,AB59,AB62,AB65,AB68,AB71,AB74,AB77,AB80,AB83,AB86,AB89,AB92,AB95,AB98,AB101,AB104,AB107,AB110)</f>
        <v>#N/A</v>
      </c>
      <c r="AC9" s="21">
        <f>AVERAGE(AC14,AC17,AC20,AC23,AC26,AC29,AC32,AC35,AC38,AC41,AC44,AC47,AC50,AC53,AC56,AC59,AC62,AC65,AC68,AC71,AC74,AC77,AC80,AC83,AC86,AC89,AC92,AC95,AC98,AC101)</f>
        <v>76.833333333333329</v>
      </c>
      <c r="AD9" s="20" t="e">
        <f>SUM(AD14,AD17,AD20,AD23,AD26,AD29,AD32,AD35,AD38,AD41,AD44,AD47,AD50,AD53,AD56,AD59,AD62,AD65,AD68,AD71,AD74,AD77,AD80,AD83,AD86,AD89,AD92,AD95,AD98,AD101,AD104,AD107,AD110)</f>
        <v>#VALUE!</v>
      </c>
      <c r="AE9" s="21">
        <f>AVERAGE(AE14,AE17,AE20,AE23,AE26,AE29,AE32,AE35,AE38,AE41,AE44,AE47,AE50,AE53,AE56,AE59,AE62,AE65,AE68,AE71,AE74,AE77,AE80,AE83,AE86,AE89,AE92,AE95,AE98,AE101)</f>
        <v>6.4233333333333329</v>
      </c>
      <c r="AF9" s="25" t="e">
        <f>SUM(AF14,AF17,AF20,AF23,AF26,AF29,AF32,AF35,AF38,AF41,AF44,AF47,AF50,AF53,AF56,AF59,AF62,AF65,AF68,AF71,AF74,AF77,AF80,AF83,AF86,AF89,AF92,AF95,AF98,AF101,AF104,AF107,AF110)</f>
        <v>#N/A</v>
      </c>
      <c r="AG9" s="21">
        <f>AVERAGE(AG14,AG17,AG20,AG23,AG26,AG29,AG32,AG35,AG38,AG41,AG44,AG47,AG50,AG53,AG56,AG59,AG62,AG65,AG68,AG71,AG74,AG77,AG80,AG83,AG86,AG89,AG92,AG95,AG98,AG101)</f>
        <v>72.666666666666671</v>
      </c>
      <c r="AH9" s="20" t="e">
        <f>SUM(AH14,AH17,AH20,AH23,AH26,AH29,AH32,AH35,AH38,AH41,AH44,AH47,AH50,AH53,AH56,AH59,AH62,AH65,AH68,AH71,AH74,AH77,AH80,AH83,AH86,AH89,AH92,AH95,AH98,AH101,AH104,AH107,AH110)</f>
        <v>#VALUE!</v>
      </c>
      <c r="AI9" s="21">
        <f>AVERAGE(AI14,AI17,AI20,AI23,AI26,AI29,AI32,AI35,AI38,AI41,AI44,AI47,AI50,AI53,AI56,AI59,AI62,AI65,AI68,AI71,AI74,AI77,AI80,AI83,AI86,AI89,AI92,AI95,AI98,AI101)</f>
        <v>7.2433333333333332</v>
      </c>
      <c r="AJ9" s="20" t="e">
        <f>SUM(AJ14,AJ17,AJ20,AJ23,AJ26,AJ29,AJ32,AJ35,AJ38,AJ41,AJ44,AJ47,AJ50,AJ53,AJ56,AJ59,AJ62,AJ65,AJ68,AJ71,AJ74,AJ77,AJ80,AJ83,AJ86,AJ89,AJ92,AJ95,AJ98,AJ101,AJ104,AJ107,AJ110)</f>
        <v>#N/A</v>
      </c>
      <c r="AK9" s="21">
        <f>AVERAGE(AK14,AK17,AK20,AK23,AK26,AK29,AK32,AK35,AK38,AK41,AK44,AK47,AK50,AK53,AK56,AK59,AK62,AK65,AK68,AK71,AK74,AK77,AK80,AK83,AK86,AK89,AK92,AK95,AK98,AK101)</f>
        <v>81</v>
      </c>
      <c r="AL9" s="20" t="e">
        <f>SUM(AL14,AL17,AL20,AL23,AL26,AL29,AL32,AL35,AL38,AL41,AL44,AL47,AL50,AL53,AL56,AL59,AL62,AL65,AL68,AL71,AL74,AL77,AL80,AL83,AL86,AL89,AL92,AL95,AL98,AL101,AL104,AL107,AL110)</f>
        <v>#VALUE!</v>
      </c>
      <c r="AM9" s="21">
        <f>AVERAGE(AM14,AM17,AM20,AM23,AM26,AM29,AM32,AM35,AM38,AM41,AM44,AM47,AM50,AM53,AM56,AM59,AM62,AM65,AM68,AM71,AM74,AM77,AM80,AM83,AM86,AM89,AM92,AM95,AM98,AM101)</f>
        <v>7.0933333333333337</v>
      </c>
      <c r="AN9" s="25" t="e">
        <f>SUM(AN14,AN17,AN20,AN23,AN26,AN29,AN32,AN35,AN38,AN41,AN44,AN47,AN50,AN53,AN56,AN59,AN62,AN65,AN68,AN71,AN74,AN77,AN80,AN83,AN86,AN89,AN92,AN95,AN98,AN101,AN104,AN107,AN110)</f>
        <v>#N/A</v>
      </c>
      <c r="AO9" s="21">
        <f>AVERAGE(AO14,AO17,AO20,AO23,AO26,AO29,AO32,AO35,AO38,AO41,AO44,AO47,AO50,AO53,AO56,AO59,AO62,AO65,AO68,AO71,AO74,AO77,AO80,AO83,AO86,AO89,AO92,AO95,AO98,AO101)</f>
        <v>79.5</v>
      </c>
      <c r="AP9" s="20" t="e">
        <f>SUM(AP14,AP17,AP20,AP23,AP26,AP29,AP32,AP35,AP38,AP41,AP44,AP47,AP50,AP53,AP56,AP59,AP62,AP65,AP68,AP71,AP74,AP77,AP80,AP83,AP86,AP89,AP92,AP95,AP98,AP101,AP104,AP107,AP110)</f>
        <v>#VALUE!</v>
      </c>
    </row>
    <row r="10" spans="1:42" ht="21" x14ac:dyDescent="0.3">
      <c r="A10" s="15"/>
      <c r="B10" s="60" t="s">
        <v>64</v>
      </c>
      <c r="C10" s="86">
        <f>SUM(E14,E17,E20,E23,E26,E29,E32,E35,E38,E41,E44,E47,E50,E53,E56,E59,E62,E65,E68,E71,E74,E77,E80,E83,E86,E89,E92,E95,E98,E101,E104,E107,E110)</f>
        <v>251.5</v>
      </c>
      <c r="D10" s="87"/>
      <c r="E10" s="88"/>
      <c r="F10" s="30"/>
      <c r="G10" s="86">
        <f>SUM(I14,I17,I20,I23,I26,I29,I32,I35,I38,I41,I44,I47,I50,I53,I56,I59,I62,I65,I68,I71,I74,I77,I80,I83,I86,I89,I92,I95,I98,I101,I104,I107,I110)</f>
        <v>236</v>
      </c>
      <c r="H10" s="87"/>
      <c r="I10" s="88"/>
      <c r="J10" s="30"/>
      <c r="K10" s="86">
        <f>SUM(M14,M17,M20,M23,M26,M29,M32,M35,M38,M41,M44,M47,M50,M53,M56,M59,M62,M65,M68,M71,M74,M77,M80,M83,M86,M89,M92,M95,M98,M101,M104,M107,M110)</f>
        <v>228.5</v>
      </c>
      <c r="L10" s="87"/>
      <c r="M10" s="88"/>
      <c r="N10" s="30"/>
      <c r="O10" s="86">
        <f>SUM(Q14,Q17,Q20,Q23,Q26,Q29,Q32,Q35,Q38,Q41,Q44,Q47,Q50,Q53,Q56,Q59,Q62,Q65,Q68,Q71,Q74,Q77,Q80,Q83,Q86,Q89,Q92,Q95,Q98,Q101,Q104,Q107,Q110)</f>
        <v>241.5</v>
      </c>
      <c r="P10" s="87"/>
      <c r="Q10" s="88"/>
      <c r="R10" s="30"/>
      <c r="S10" s="86">
        <f>SUM(U14,U17,U20,U23,U26,U29,U32,U35,U38,U41,U44,U47,U50,U53,U56,U59,U62,U65,U68,U71,U74,U77,U80,U83,U86,U89,U92,U95,U98,U101,U104,U107,U110)</f>
        <v>261.5</v>
      </c>
      <c r="T10" s="87"/>
      <c r="U10" s="88"/>
      <c r="V10" s="30"/>
      <c r="W10" s="86">
        <f>SUM(Y14,Y17,Y20,Y23,Y26,Y29,Y32,Y35,Y38,Y41,Y44,Y47,Y50,Y53,Y56,Y59,Y62,Y65,Y68,Y71,Y74,Y77,Y80,Y83,Y86,Y89,Y92,Y95,Y98,Y101,Y104,Y107,Y110)</f>
        <v>220</v>
      </c>
      <c r="X10" s="87"/>
      <c r="Y10" s="88"/>
      <c r="Z10" s="30"/>
      <c r="AA10" s="86">
        <f>SUM(AC14,AC17,AC20,AC23,AC26,AC29,AC32,AC35,AC38,AC41,AC44,AC47,AC50,AC53,AC56,AC59,AC62,AC65,AC68,AC71,AC74,AC77,AC80,AC83,AC86,AC89,AC92,AC95,AC98,AC101,AC104,AC107,AC110)</f>
        <v>230.5</v>
      </c>
      <c r="AB10" s="87"/>
      <c r="AC10" s="88"/>
      <c r="AD10" s="30"/>
      <c r="AE10" s="86">
        <f>SUM(AG14,AG17,AG20,AG23,AG26,AG29,AG32,AG35,AG38,AG41,AG44,AG47,AG50,AG53,AG56,AG59,AG62,AG65,AG68,AG71,AG74,AG77,AG80,AG83,AG86,AG89,AG92,AG95,AG98,AG101,AG104,AG107,AG110)</f>
        <v>218</v>
      </c>
      <c r="AF10" s="87"/>
      <c r="AG10" s="88"/>
      <c r="AH10" s="30"/>
      <c r="AI10" s="86">
        <f>SUM(AK14,AK17,AK20,AK23,AK26,AK29,AK32,AK35,AK38,AK41,AK44,AK47,AK50,AK53,AK56,AK59,AK62,AK65,AK68,AK71,AK74,AK77,AK80,AK83,AK86,AK89,AK92,AK95,AK98,AK101,AK104,AK107,AK110)</f>
        <v>243</v>
      </c>
      <c r="AJ10" s="87"/>
      <c r="AK10" s="88"/>
      <c r="AL10" s="30"/>
      <c r="AM10" s="86">
        <f>SUM(AO14,AO17,AO20,AO23,AO26,AO29,AO32,AO35,AO38,AO41,AO44,AO47,AO50,AO53,AO56,AO59,AO62,AO65,AO68,AO71,AO74,AO77,AO80,AO83,AO86,AO89,AO92,AO95,AO98,AO101,AO104,AO107,AO110)</f>
        <v>238.5</v>
      </c>
      <c r="AN10" s="87"/>
      <c r="AO10" s="88"/>
      <c r="AP10" s="30"/>
    </row>
    <row r="11" spans="1:42" x14ac:dyDescent="0.3">
      <c r="A11" s="15"/>
      <c r="B11" s="18"/>
      <c r="C11" s="27"/>
      <c r="D11" s="22"/>
      <c r="E11" s="28"/>
      <c r="F11" s="22"/>
      <c r="G11" s="18"/>
      <c r="H11" s="23"/>
      <c r="I11" s="23"/>
      <c r="J11" s="22"/>
      <c r="K11" s="18"/>
      <c r="L11" s="23"/>
      <c r="M11" s="23"/>
      <c r="N11" s="22"/>
      <c r="O11" s="18"/>
      <c r="P11" s="23"/>
      <c r="Q11" s="23"/>
      <c r="R11" s="22"/>
      <c r="S11" s="18"/>
      <c r="T11" s="23"/>
      <c r="U11" s="23"/>
      <c r="V11" s="22"/>
      <c r="W11" s="18"/>
      <c r="X11" s="26"/>
      <c r="Y11" s="17"/>
      <c r="Z11" s="22"/>
      <c r="AA11" s="18"/>
      <c r="AB11" s="23"/>
      <c r="AC11" s="23"/>
      <c r="AD11" s="22"/>
      <c r="AE11" s="18"/>
      <c r="AF11" s="26"/>
      <c r="AG11" s="17"/>
      <c r="AH11" s="22"/>
      <c r="AI11" s="18"/>
      <c r="AJ11" s="23"/>
      <c r="AK11" s="23"/>
      <c r="AL11" s="22"/>
      <c r="AM11" s="18"/>
      <c r="AN11" s="26"/>
      <c r="AO11" s="17"/>
      <c r="AP11" s="22"/>
    </row>
    <row r="12" spans="1:42" x14ac:dyDescent="0.3">
      <c r="A12" s="77">
        <v>1</v>
      </c>
      <c r="B12" s="31" t="s">
        <v>61</v>
      </c>
      <c r="C12" s="33">
        <v>7.55</v>
      </c>
      <c r="D12" s="17">
        <f>_xlfn.RANK.EQ(C12,($C12,$G12,$K12,$O12,$S12,$W12,$AA12,$AE12,$AI12,$AM12),0)</f>
        <v>1</v>
      </c>
      <c r="E12" s="33">
        <v>86</v>
      </c>
      <c r="F12" s="17">
        <f>_xlfn.RANK.EQ(E12,($E12,$I12,$M12,$Q12,$U12,$Y12,$AC12,$AG12,$AK12,$AO12),0)</f>
        <v>1</v>
      </c>
      <c r="G12" s="33">
        <v>6.82</v>
      </c>
      <c r="H12" s="17">
        <f>_xlfn.RANK.EQ(G12,($C12,$G12,$K12,$O12,$S12,$W12,$AA12,$AE12,$AI12,$AM12),0)</f>
        <v>5</v>
      </c>
      <c r="I12" s="33">
        <f>IF(MROUND(SUM(G12*11),0.5)=0,"",MROUND(SUM(G12*11),0.5))</f>
        <v>75</v>
      </c>
      <c r="J12" s="17">
        <f>_xlfn.RANK.EQ(I12,($E12,$I12,$M12,$Q12,$U12,$Y12,$AC12,$AG12,$AK12,$AO12),0)</f>
        <v>5</v>
      </c>
      <c r="K12" s="33">
        <v>7.23</v>
      </c>
      <c r="L12" s="17">
        <f>_xlfn.RANK.EQ(K12,($C12,$G12,$K12,$O12,$S12,$W12,$AA12,$AE12,$AI12,$AM12),0)</f>
        <v>2</v>
      </c>
      <c r="M12" s="33">
        <f>IF(MROUND(SUM(K12*11),0.5)=0,"",MROUND(SUM(K12*11),0.5))</f>
        <v>79.5</v>
      </c>
      <c r="N12" s="17">
        <f>_xlfn.RANK.EQ(M12,($E12,$I12,$M12,$Q12,$U12,$Y12,$AC12,$AG12,$AK12,$AO12),0)</f>
        <v>3</v>
      </c>
      <c r="O12" s="33">
        <v>7</v>
      </c>
      <c r="P12" s="17">
        <f>_xlfn.RANK.EQ(O12,($C12,$G12,$K12,$O12,$S12,$W12,$AA12,$AE12,$AI12,$AM12),0)</f>
        <v>3</v>
      </c>
      <c r="Q12" s="33">
        <v>81</v>
      </c>
      <c r="R12" s="17">
        <f>_xlfn.RANK.EQ(Q12,($E12,$I12,$M12,$Q12,$U12,$Y12,$AC12,$AG12,$AK12,$AO12),0)</f>
        <v>2</v>
      </c>
      <c r="S12" s="17">
        <v>6.91</v>
      </c>
      <c r="T12" s="17">
        <f>_xlfn.RANK.EQ(S12,($C12,$G12,$K12,$O12,$S12,$W12,$AA12,$AE12,$AI12,$AM12),0)</f>
        <v>4</v>
      </c>
      <c r="U12" s="33">
        <f t="shared" ref="U12:U75" si="0">IF(MROUND(SUM(S12*11),0.5)=0,"",MROUND(SUM(S12*11),0.5))</f>
        <v>76</v>
      </c>
      <c r="V12" s="17">
        <f>_xlfn.RANK.EQ(U12,($E12,$I12,$M12,$Q12,$U12,$Y12,$AC12,$AG12,$AK12,$AO12),0)</f>
        <v>4</v>
      </c>
      <c r="W12" s="33">
        <v>6.32</v>
      </c>
      <c r="X12" s="17">
        <f>_xlfn.RANK.EQ(W12,($C12,$G12,$K12,$O12,$S12,$W12,$AA12,$AE12,$AI12,$AM12),0)</f>
        <v>7</v>
      </c>
      <c r="Y12" s="33">
        <f>IF(MROUND(SUM(W12*11),0.5)=0,"",MROUND(SUM(W12*11),0.5))</f>
        <v>69.5</v>
      </c>
      <c r="Z12" s="17">
        <f>_xlfn.RANK.EQ(Y12,($E12,$I12,$M12,$Q12,$U12,$Y12,$AC12,$AG12,$AK12,$AO12),0)</f>
        <v>7</v>
      </c>
      <c r="AA12" s="33">
        <v>6.18</v>
      </c>
      <c r="AB12" s="17">
        <f>_xlfn.RANK.EQ(AA12,($C12,$G12,$K12,$O12,$S12,$W12,$AA12,$AE12,$AI12,$AM12),0)</f>
        <v>9</v>
      </c>
      <c r="AC12" s="33">
        <f>IF(MROUND(SUM(AA12*11),0.5)=0,"",MROUND(SUM(AA12*11),0.5))</f>
        <v>68</v>
      </c>
      <c r="AD12" s="17">
        <f>_xlfn.RANK.EQ(AC12,($E12,$I12,$M12,$Q12,$U12,$Y12,$AC12,$AG12,$AK12,$AO12),0)</f>
        <v>9</v>
      </c>
      <c r="AE12" s="33">
        <v>5.81</v>
      </c>
      <c r="AF12" s="17">
        <f>_xlfn.RANK.EQ(AE12,($C12,$G12,$K12,$O12,$S12,$W12,$AA12,$AE12,$AI12,$AM12),0)</f>
        <v>10</v>
      </c>
      <c r="AG12" s="33">
        <f>IF(MROUND(SUM(AE12*11),0.5)=0,"",MROUND(SUM(AE12*11),0.5))</f>
        <v>64</v>
      </c>
      <c r="AH12" s="17">
        <f>_xlfn.RANK.EQ(AG12,($E12,$I12,$M12,$Q12,$U12,$Y12,$AC12,$AG12,$AK12,$AO12),0)</f>
        <v>10</v>
      </c>
      <c r="AI12" s="17">
        <v>6.32</v>
      </c>
      <c r="AJ12" s="17">
        <f>_xlfn.RANK.EQ(AI12,($C12,$G12,$K12,$O12,$S12,$W12,$AA12,$AE12,$AI12,$AM12),0)</f>
        <v>7</v>
      </c>
      <c r="AK12" s="33">
        <f t="shared" ref="AK12:AK75" si="1">IF(MROUND(SUM(AI12*11),0.5)=0,"",MROUND(SUM(AI12*11),0.5))</f>
        <v>69.5</v>
      </c>
      <c r="AL12" s="17">
        <f>_xlfn.RANK.EQ(AK12,($E12,$I12,$M12,$Q12,$U12,$Y12,$AC12,$AG12,$AK12,$AO12),0)</f>
        <v>7</v>
      </c>
      <c r="AM12" s="33">
        <v>6.82</v>
      </c>
      <c r="AN12" s="17">
        <f>_xlfn.RANK.EQ(AM12,($C12,$G12,$K12,$O12,$S12,$W12,$AA12,$AE12,$AI12,$AM12),0)</f>
        <v>5</v>
      </c>
      <c r="AO12" s="33">
        <f>IF(MROUND(SUM(AM12*11),0.5)=0,"",MROUND(SUM(AM12*11),0.5))</f>
        <v>75</v>
      </c>
      <c r="AP12" s="17">
        <f>_xlfn.RANK.EQ(AO12,($E12,$I12,$M12,$Q12,$U12,$Y12,$AC12,$AG12,$AK12,$AO12),0)</f>
        <v>5</v>
      </c>
    </row>
    <row r="13" spans="1:42" x14ac:dyDescent="0.3">
      <c r="A13" s="77"/>
      <c r="B13" s="31" t="s">
        <v>62</v>
      </c>
      <c r="C13" s="33">
        <v>7</v>
      </c>
      <c r="D13" s="17">
        <f>_xlfn.RANK.EQ(C13,($C13,$G13,$K13,$O13,$S13,$W13,$AA13,$AE13,$AI13,$AM13),0)</f>
        <v>1</v>
      </c>
      <c r="E13" s="33"/>
      <c r="F13" s="17"/>
      <c r="G13" s="17">
        <v>6.56</v>
      </c>
      <c r="H13" s="17">
        <f>_xlfn.RANK.EQ(G13,($C13,$G13,$K13,$O13,$S13,$W13,$AA13,$AE13,$AI13,$AM13),0)</f>
        <v>4</v>
      </c>
      <c r="I13" s="33"/>
      <c r="J13" s="17"/>
      <c r="K13" s="17">
        <v>6.63</v>
      </c>
      <c r="L13" s="17">
        <f>_xlfn.RANK.EQ(K13,($C13,$G13,$K13,$O13,$S13,$W13,$AA13,$AE13,$AI13,$AM13),0)</f>
        <v>3</v>
      </c>
      <c r="M13" s="33"/>
      <c r="N13" s="17"/>
      <c r="O13" s="17">
        <v>6.52</v>
      </c>
      <c r="P13" s="17">
        <f>_xlfn.RANK.EQ(O13,($C13,$G13,$K13,$O13,$S13,$W13,$AA13,$AE13,$AI13,$AM13),0)</f>
        <v>5</v>
      </c>
      <c r="Q13" s="33"/>
      <c r="R13" s="17"/>
      <c r="S13" s="17">
        <v>6.22</v>
      </c>
      <c r="T13" s="17">
        <f>_xlfn.RANK.EQ(S13,($C13,$G13,$K13,$O13,$S13,$W13,$AA13,$AE13,$AI13,$AM13),0)</f>
        <v>6</v>
      </c>
      <c r="U13" s="17"/>
      <c r="V13" s="17"/>
      <c r="W13" s="17">
        <v>6.18</v>
      </c>
      <c r="X13" s="17">
        <f>_xlfn.RANK.EQ(W13,($C13,$G13,$K13,$O13,$S13,$W13,$AA13,$AE13,$AI13,$AM13),0)</f>
        <v>7</v>
      </c>
      <c r="Y13" s="33"/>
      <c r="Z13" s="17"/>
      <c r="AA13" s="17">
        <v>6</v>
      </c>
      <c r="AB13" s="17">
        <f>_xlfn.RANK.EQ(AA13,($C13,$G13,$K13,$O13,$S13,$W13,$AA13,$AE13,$AI13,$AM13),0)</f>
        <v>9</v>
      </c>
      <c r="AC13" s="33"/>
      <c r="AD13" s="17"/>
      <c r="AE13" s="17">
        <v>6.13</v>
      </c>
      <c r="AF13" s="17">
        <f>_xlfn.RANK.EQ(AE13,($C13,$G13,$K13,$O13,$S13,$W13,$AA13,$AE13,$AI13,$AM13),0)</f>
        <v>8</v>
      </c>
      <c r="AG13" s="33"/>
      <c r="AH13" s="17"/>
      <c r="AI13" s="17">
        <v>5.93</v>
      </c>
      <c r="AJ13" s="17">
        <f>_xlfn.RANK.EQ(AI13,($C13,$G13,$K13,$O13,$S13,$W13,$AA13,$AE13,$AI13,$AM13),0)</f>
        <v>10</v>
      </c>
      <c r="AK13" s="33"/>
      <c r="AL13" s="17"/>
      <c r="AM13" s="17">
        <v>6.83</v>
      </c>
      <c r="AN13" s="17">
        <f>_xlfn.RANK.EQ(AM13,($C13,$G13,$K13,$O13,$S13,$W13,$AA13,$AE13,$AI13,$AM13),0)</f>
        <v>2</v>
      </c>
      <c r="AO13" s="33"/>
      <c r="AP13" s="17"/>
    </row>
    <row r="14" spans="1:42" x14ac:dyDescent="0.3">
      <c r="A14" s="77"/>
      <c r="B14" s="31" t="s">
        <v>63</v>
      </c>
      <c r="C14" s="33">
        <v>8.14</v>
      </c>
      <c r="D14" s="17">
        <f>_xlfn.RANK.EQ(C14,($C14,$G14,$K14,$O14,$S14,$W14,$AA14,$AE14,$AI14,$AM14),0)</f>
        <v>1</v>
      </c>
      <c r="E14" s="33">
        <f t="shared" ref="E14:E77" si="2">IF(MROUND(SUM(C14*11),0.5)=0,"",MROUND(SUM(C14*11),0.5))</f>
        <v>89.5</v>
      </c>
      <c r="F14" s="17">
        <f>_xlfn.RANK.EQ(E14,($E14,$I14,$M14,$Q14,$U14,$Y14,$AC14,$AG14,$AK14,$AO14),0)</f>
        <v>1</v>
      </c>
      <c r="G14" s="17">
        <v>7.5</v>
      </c>
      <c r="H14" s="17">
        <f>_xlfn.RANK.EQ(G14,($C14,$G14,$K14,$O14,$S14,$W14,$AA14,$AE14,$AI14,$AM14),0)</f>
        <v>4</v>
      </c>
      <c r="I14" s="33">
        <v>85.5</v>
      </c>
      <c r="J14" s="17">
        <f>_xlfn.RANK.EQ(I14,($E14,$I14,$M14,$Q14,$U14,$Y14,$AC14,$AG14,$AK14,$AO14),0)</f>
        <v>3</v>
      </c>
      <c r="K14" s="17">
        <v>7.59</v>
      </c>
      <c r="L14" s="17">
        <f>_xlfn.RANK.EQ(K14,($C14,$G14,$K14,$O14,$S14,$W14,$AA14,$AE14,$AI14,$AM14),0)</f>
        <v>3</v>
      </c>
      <c r="M14" s="33">
        <v>85.5</v>
      </c>
      <c r="N14" s="17">
        <f>_xlfn.RANK.EQ(M14,($E14,$I14,$M14,$Q14,$U14,$Y14,$AC14,$AG14,$AK14,$AO14),0)</f>
        <v>3</v>
      </c>
      <c r="O14" s="17">
        <v>7.41</v>
      </c>
      <c r="P14" s="17">
        <f>_xlfn.RANK.EQ(O14,($C14,$G14,$K14,$O14,$S14,$W14,$AA14,$AE14,$AI14,$AM14),0)</f>
        <v>5</v>
      </c>
      <c r="Q14" s="33">
        <v>84.5</v>
      </c>
      <c r="R14" s="17">
        <f>_xlfn.RANK.EQ(Q14,($E14,$I14,$M14,$Q14,$U14,$Y14,$AC14,$AG14,$AK14,$AO14),0)</f>
        <v>5</v>
      </c>
      <c r="S14" s="17">
        <v>7</v>
      </c>
      <c r="T14" s="17">
        <f>_xlfn.RANK.EQ(S14,($C14,$G14,$K14,$O14,$S14,$W14,$AA14,$AE14,$AI14,$AM14),0)</f>
        <v>7</v>
      </c>
      <c r="U14" s="33">
        <v>80</v>
      </c>
      <c r="V14" s="17">
        <f>_xlfn.RANK.EQ(U14,($E14,$I14,$M14,$Q14,$U14,$Y14,$AC14,$AG14,$AK14,$AO14),0)</f>
        <v>6</v>
      </c>
      <c r="W14" s="17">
        <v>6.91</v>
      </c>
      <c r="X14" s="17">
        <f>_xlfn.RANK.EQ(W14,($C14,$G14,$K14,$O14,$S14,$W14,$AA14,$AE14,$AI14,$AM14),0)</f>
        <v>8</v>
      </c>
      <c r="Y14" s="33">
        <f t="shared" ref="Y14:Y77" si="3">IF(MROUND(SUM(W14*11),0.5)=0,"",MROUND(SUM(W14*11),0.5))</f>
        <v>76</v>
      </c>
      <c r="Z14" s="17">
        <f>_xlfn.RANK.EQ(Y14,($E14,$I14,$M14,$Q14,$U14,$Y14,$AC14,$AG14,$AK14,$AO14),0)</f>
        <v>8</v>
      </c>
      <c r="AA14" s="17">
        <v>6.55</v>
      </c>
      <c r="AB14" s="17">
        <f>_xlfn.RANK.EQ(AA14,($C14,$G14,$K14,$O14,$S14,$W14,$AA14,$AE14,$AI14,$AM14),0)</f>
        <v>9</v>
      </c>
      <c r="AC14" s="33">
        <v>74</v>
      </c>
      <c r="AD14" s="17">
        <f>_xlfn.RANK.EQ(AC14,($E14,$I14,$M14,$Q14,$U14,$Y14,$AC14,$AG14,$AK14,$AO14),0)</f>
        <v>9</v>
      </c>
      <c r="AE14" s="17">
        <v>6.32</v>
      </c>
      <c r="AF14" s="17">
        <f>_xlfn.RANK.EQ(AE14,($C14,$G14,$K14,$O14,$S14,$W14,$AA14,$AE14,$AI14,$AM14),0)</f>
        <v>10</v>
      </c>
      <c r="AG14" s="33">
        <v>71.5</v>
      </c>
      <c r="AH14" s="17">
        <f>_xlfn.RANK.EQ(AG14,($E14,$I14,$M14,$Q14,$U14,$Y14,$AC14,$AG14,$AK14,$AO14),0)</f>
        <v>10</v>
      </c>
      <c r="AI14" s="17">
        <v>7.05</v>
      </c>
      <c r="AJ14" s="17">
        <f>_xlfn.RANK.EQ(AI14,($C14,$G14,$K14,$O14,$S14,$W14,$AA14,$AE14,$AI14,$AM14),0)</f>
        <v>6</v>
      </c>
      <c r="AK14" s="33">
        <v>79.5</v>
      </c>
      <c r="AL14" s="17">
        <f>_xlfn.RANK.EQ(AK14,($E14,$I14,$M14,$Q14,$U14,$Y14,$AC14,$AG14,$AK14,$AO14),0)</f>
        <v>7</v>
      </c>
      <c r="AM14" s="17">
        <v>7.73</v>
      </c>
      <c r="AN14" s="17">
        <f>_xlfn.RANK.EQ(AM14,($C14,$G14,$K14,$O14,$S14,$W14,$AA14,$AE14,$AI14,$AM14),0)</f>
        <v>2</v>
      </c>
      <c r="AO14" s="33">
        <v>87.5</v>
      </c>
      <c r="AP14" s="17">
        <f>_xlfn.RANK.EQ(AO14,($E14,$I14,$M14,$Q14,$U14,$Y14,$AC14,$AG14,$AK14,$AO14),0)</f>
        <v>2</v>
      </c>
    </row>
    <row r="15" spans="1:42" x14ac:dyDescent="0.3">
      <c r="A15" s="77">
        <v>2</v>
      </c>
      <c r="B15" s="31" t="s">
        <v>61</v>
      </c>
      <c r="C15" s="33">
        <v>6.36</v>
      </c>
      <c r="D15" s="17">
        <f>_xlfn.RANK.EQ(C15,($C15,$G15,$K15,$O15,$S15,$W15,$AA15,$AE15,$AI15,$AM15),0)</f>
        <v>5</v>
      </c>
      <c r="E15" s="33">
        <f t="shared" si="2"/>
        <v>70</v>
      </c>
      <c r="F15" s="17">
        <f>_xlfn.RANK.EQ(E15,($E15,$I15,$M15,$Q15,$U15,$Y15,$AC15,$AG15,$AK15,$AO15),0)</f>
        <v>5</v>
      </c>
      <c r="G15" s="17">
        <v>6.5</v>
      </c>
      <c r="H15" s="17">
        <f>_xlfn.RANK.EQ(G15,($C15,$G15,$K15,$O15,$S15,$W15,$AA15,$AE15,$AI15,$AM15),0)</f>
        <v>4</v>
      </c>
      <c r="I15" s="33">
        <f t="shared" ref="I15:I78" si="4">IF(MROUND(SUM(G15*11),0.5)=0,"",MROUND(SUM(G15*11),0.5))</f>
        <v>71.5</v>
      </c>
      <c r="J15" s="17">
        <f>_xlfn.RANK.EQ(I15,($E15,$I15,$M15,$Q15,$U15,$Y15,$AC15,$AG15,$AK15,$AO15),0)</f>
        <v>4</v>
      </c>
      <c r="K15" s="17">
        <v>5.73</v>
      </c>
      <c r="L15" s="17">
        <f>_xlfn.RANK.EQ(K15,($C15,$G15,$K15,$O15,$S15,$W15,$AA15,$AE15,$AI15,$AM15),0)</f>
        <v>10</v>
      </c>
      <c r="M15" s="33">
        <f t="shared" ref="M15:M78" si="5">IF(MROUND(SUM(K15*11),0.5)=0,"",MROUND(SUM(K15*11),0.5))</f>
        <v>63</v>
      </c>
      <c r="N15" s="17">
        <f>_xlfn.RANK.EQ(M15,($E15,$I15,$M15,$Q15,$U15,$Y15,$AC15,$AG15,$AK15,$AO15),0)</f>
        <v>10</v>
      </c>
      <c r="O15" s="17">
        <v>6.32</v>
      </c>
      <c r="P15" s="17">
        <f>_xlfn.RANK.EQ(O15,($C15,$G15,$K15,$O15,$S15,$W15,$AA15,$AE15,$AI15,$AM15),0)</f>
        <v>6</v>
      </c>
      <c r="Q15" s="33">
        <f t="shared" ref="Q15:Q78" si="6">IF(MROUND(SUM(O15*11),0.5)=0,"",MROUND(SUM(O15*11),0.5))</f>
        <v>69.5</v>
      </c>
      <c r="R15" s="17">
        <f>_xlfn.RANK.EQ(Q15,($E15,$I15,$M15,$Q15,$U15,$Y15,$AC15,$AG15,$AK15,$AO15),0)</f>
        <v>6</v>
      </c>
      <c r="S15" s="17">
        <v>7.64</v>
      </c>
      <c r="T15" s="17">
        <f>_xlfn.RANK.EQ(S15,($C15,$G15,$K15,$O15,$S15,$W15,$AA15,$AE15,$AI15,$AM15),0)</f>
        <v>1</v>
      </c>
      <c r="U15" s="33">
        <f t="shared" si="0"/>
        <v>84</v>
      </c>
      <c r="V15" s="17">
        <f>_xlfn.RANK.EQ(U15,($E15,$I15,$M15,$Q15,$U15,$Y15,$AC15,$AG15,$AK15,$AO15),0)</f>
        <v>1</v>
      </c>
      <c r="W15" s="17">
        <v>7</v>
      </c>
      <c r="X15" s="17">
        <f>_xlfn.RANK.EQ(W15,($C15,$G15,$K15,$O15,$S15,$W15,$AA15,$AE15,$AI15,$AM15),0)</f>
        <v>3</v>
      </c>
      <c r="Y15" s="33">
        <f t="shared" si="3"/>
        <v>77</v>
      </c>
      <c r="Z15" s="17">
        <f>_xlfn.RANK.EQ(Y15,($E15,$I15,$M15,$Q15,$U15,$Y15,$AC15,$AG15,$AK15,$AO15),0)</f>
        <v>3</v>
      </c>
      <c r="AA15" s="17">
        <v>6.14</v>
      </c>
      <c r="AB15" s="17">
        <f>_xlfn.RANK.EQ(AA15,($C15,$G15,$K15,$O15,$S15,$W15,$AA15,$AE15,$AI15,$AM15),0)</f>
        <v>7</v>
      </c>
      <c r="AC15" s="33">
        <f t="shared" ref="AC15:AC78" si="7">IF(MROUND(SUM(AA15*11),0.5)=0,"",MROUND(SUM(AA15*11),0.5))</f>
        <v>67.5</v>
      </c>
      <c r="AD15" s="17">
        <f>_xlfn.RANK.EQ(AC15,($E15,$I15,$M15,$Q15,$U15,$Y15,$AC15,$AG15,$AK15,$AO15),0)</f>
        <v>7</v>
      </c>
      <c r="AE15" s="17">
        <v>7.59</v>
      </c>
      <c r="AF15" s="17">
        <f>_xlfn.RANK.EQ(AE15,($C15,$G15,$K15,$O15,$S15,$W15,$AA15,$AE15,$AI15,$AM15),0)</f>
        <v>2</v>
      </c>
      <c r="AG15" s="33">
        <f t="shared" ref="AG15:AG78" si="8">IF(MROUND(SUM(AE15*11),0.5)=0,"",MROUND(SUM(AE15*11),0.5))</f>
        <v>83.5</v>
      </c>
      <c r="AH15" s="17">
        <f>_xlfn.RANK.EQ(AG15,($E15,$I15,$M15,$Q15,$U15,$Y15,$AC15,$AG15,$AK15,$AO15),0)</f>
        <v>2</v>
      </c>
      <c r="AI15" s="17">
        <v>5.86</v>
      </c>
      <c r="AJ15" s="17">
        <f>_xlfn.RANK.EQ(AI15,($C15,$G15,$K15,$O15,$S15,$W15,$AA15,$AE15,$AI15,$AM15),0)</f>
        <v>9</v>
      </c>
      <c r="AK15" s="33">
        <f t="shared" si="1"/>
        <v>64.5</v>
      </c>
      <c r="AL15" s="17">
        <f>_xlfn.RANK.EQ(AK15,($E15,$I15,$M15,$Q15,$U15,$Y15,$AC15,$AG15,$AK15,$AO15),0)</f>
        <v>9</v>
      </c>
      <c r="AM15" s="17">
        <v>5.95</v>
      </c>
      <c r="AN15" s="17">
        <f>_xlfn.RANK.EQ(AM15,($C15,$G15,$K15,$O15,$S15,$W15,$AA15,$AE15,$AI15,$AM15),0)</f>
        <v>8</v>
      </c>
      <c r="AO15" s="33">
        <f t="shared" ref="AO15:AO78" si="9">IF(MROUND(SUM(AM15*11),0.5)=0,"",MROUND(SUM(AM15*11),0.5))</f>
        <v>65.5</v>
      </c>
      <c r="AP15" s="17">
        <f>_xlfn.RANK.EQ(AO15,($E15,$I15,$M15,$Q15,$U15,$Y15,$AC15,$AG15,$AK15,$AO15),0)</f>
        <v>8</v>
      </c>
    </row>
    <row r="16" spans="1:42" x14ac:dyDescent="0.3">
      <c r="A16" s="77"/>
      <c r="B16" s="31" t="s">
        <v>62</v>
      </c>
      <c r="C16" s="33">
        <v>6.3</v>
      </c>
      <c r="D16" s="17">
        <f>_xlfn.RANK.EQ(C16,($C16,$G16,$K16,$O16,$S16,$W16,$AA16,$AE16,$AI16,$AM16),0)</f>
        <v>6</v>
      </c>
      <c r="E16" s="33"/>
      <c r="F16" s="17"/>
      <c r="G16" s="17">
        <v>6.29</v>
      </c>
      <c r="H16" s="17">
        <f>_xlfn.RANK.EQ(G16,($C16,$G16,$K16,$O16,$S16,$W16,$AA16,$AE16,$AI16,$AM16),0)</f>
        <v>7</v>
      </c>
      <c r="I16" s="33"/>
      <c r="J16" s="17"/>
      <c r="K16" s="17">
        <v>5.71</v>
      </c>
      <c r="L16" s="17">
        <f>_xlfn.RANK.EQ(K16,($C16,$G16,$K16,$O16,$S16,$W16,$AA16,$AE16,$AI16,$AM16),0)</f>
        <v>10</v>
      </c>
      <c r="M16" s="33"/>
      <c r="N16" s="17"/>
      <c r="O16" s="17">
        <v>6.43</v>
      </c>
      <c r="P16" s="17">
        <f>_xlfn.RANK.EQ(O16,($C16,$G16,$K16,$O16,$S16,$W16,$AA16,$AE16,$AI16,$AM16),0)</f>
        <v>4</v>
      </c>
      <c r="Q16" s="33">
        <f t="shared" si="6"/>
        <v>70.5</v>
      </c>
      <c r="R16" s="17">
        <f>_xlfn.RANK.EQ(Q16,($E16,$I16,$M16,$Q16,$U16,$Y16,$AC16,$AG16,$AK16,$AO16),0)</f>
        <v>1</v>
      </c>
      <c r="S16" s="17">
        <v>7.06</v>
      </c>
      <c r="T16" s="17">
        <f>_xlfn.RANK.EQ(S16,($C16,$G16,$K16,$O16,$S16,$W16,$AA16,$AE16,$AI16,$AM16),0)</f>
        <v>2</v>
      </c>
      <c r="U16" s="33"/>
      <c r="V16" s="17"/>
      <c r="W16" s="17">
        <v>6.53</v>
      </c>
      <c r="X16" s="17">
        <f>_xlfn.RANK.EQ(W16,($C16,$G16,$K16,$O16,$S16,$W16,$AA16,$AE16,$AI16,$AM16),0)</f>
        <v>3</v>
      </c>
      <c r="Y16" s="33"/>
      <c r="Z16" s="17"/>
      <c r="AA16" s="17">
        <v>6.03</v>
      </c>
      <c r="AB16" s="17">
        <f>_xlfn.RANK.EQ(AA16,($C16,$G16,$K16,$O16,$S16,$W16,$AA16,$AE16,$AI16,$AM16),0)</f>
        <v>9</v>
      </c>
      <c r="AC16" s="33"/>
      <c r="AD16" s="17"/>
      <c r="AE16" s="17">
        <v>7.18</v>
      </c>
      <c r="AF16" s="17">
        <f>_xlfn.RANK.EQ(AE16,($C16,$G16,$K16,$O16,$S16,$W16,$AA16,$AE16,$AI16,$AM16),0)</f>
        <v>1</v>
      </c>
      <c r="AG16" s="33"/>
      <c r="AH16" s="17"/>
      <c r="AI16" s="17">
        <v>6.23</v>
      </c>
      <c r="AJ16" s="17">
        <f>_xlfn.RANK.EQ(AI16,($C16,$G16,$K16,$O16,$S16,$W16,$AA16,$AE16,$AI16,$AM16),0)</f>
        <v>8</v>
      </c>
      <c r="AK16" s="33"/>
      <c r="AL16" s="17"/>
      <c r="AM16" s="17">
        <v>6.39</v>
      </c>
      <c r="AN16" s="17">
        <f>_xlfn.RANK.EQ(AM16,($C16,$G16,$K16,$O16,$S16,$W16,$AA16,$AE16,$AI16,$AM16),0)</f>
        <v>5</v>
      </c>
      <c r="AO16" s="33"/>
      <c r="AP16" s="17"/>
    </row>
    <row r="17" spans="1:42" x14ac:dyDescent="0.3">
      <c r="A17" s="77"/>
      <c r="B17" s="31" t="s">
        <v>63</v>
      </c>
      <c r="C17" s="33">
        <v>6.86</v>
      </c>
      <c r="D17" s="17">
        <f>_xlfn.RANK.EQ(C17,($C17,$G17,$K17,$O17,$S17,$W17,$AA17,$AE17,$AI17,$AM17),0)</f>
        <v>7</v>
      </c>
      <c r="E17" s="33">
        <f t="shared" si="2"/>
        <v>75.5</v>
      </c>
      <c r="F17" s="17">
        <f>_xlfn.RANK.EQ(E17,($E17,$I17,$M17,$Q17,$U17,$Y17,$AC17,$AG17,$AK17,$AO17),0)</f>
        <v>7</v>
      </c>
      <c r="G17" s="17">
        <v>6.95</v>
      </c>
      <c r="H17" s="17">
        <f>_xlfn.RANK.EQ(G17,($C17,$G17,$K17,$O17,$S17,$W17,$AA17,$AE17,$AI17,$AM17),0)</f>
        <v>6</v>
      </c>
      <c r="I17" s="33">
        <v>79</v>
      </c>
      <c r="J17" s="17">
        <f>_xlfn.RANK.EQ(I17,($E17,$I17,$M17,$Q17,$U17,$Y17,$AC17,$AG17,$AK17,$AO17),0)</f>
        <v>6</v>
      </c>
      <c r="K17" s="17">
        <v>5.95</v>
      </c>
      <c r="L17" s="17">
        <f>_xlfn.RANK.EQ(K17,($C17,$G17,$K17,$O17,$S17,$W17,$AA17,$AE17,$AI17,$AM17),0)</f>
        <v>10</v>
      </c>
      <c r="M17" s="33">
        <v>66</v>
      </c>
      <c r="N17" s="17">
        <f>_xlfn.RANK.EQ(M17,($E17,$I17,$M17,$Q17,$U17,$Y17,$AC17,$AG17,$AK17,$AO17),0)</f>
        <v>10</v>
      </c>
      <c r="O17" s="17">
        <v>7.68</v>
      </c>
      <c r="P17" s="17">
        <f>_xlfn.RANK.EQ(O17,($C17,$G17,$K17,$O17,$S17,$W17,$AA17,$AE17,$AI17,$AM17),0)</f>
        <v>2</v>
      </c>
      <c r="Q17" s="33">
        <v>86.5</v>
      </c>
      <c r="R17" s="17">
        <f>_xlfn.RANK.EQ(Q17,($E17,$I17,$M17,$Q17,$U17,$Y17,$AC17,$AG17,$AK17,$AO17),0)</f>
        <v>3</v>
      </c>
      <c r="S17" s="17">
        <v>8.36</v>
      </c>
      <c r="T17" s="17">
        <f>_xlfn.RANK.EQ(S17,($C17,$G17,$K17,$O17,$S17,$W17,$AA17,$AE17,$AI17,$AM17),0)</f>
        <v>1</v>
      </c>
      <c r="U17" s="33">
        <f t="shared" si="0"/>
        <v>92</v>
      </c>
      <c r="V17" s="17">
        <f>_xlfn.RANK.EQ(U17,($E17,$I17,$M17,$Q17,$U17,$Y17,$AC17,$AG17,$AK17,$AO17),0)</f>
        <v>1</v>
      </c>
      <c r="W17" s="17">
        <v>7.14</v>
      </c>
      <c r="X17" s="17">
        <f>_xlfn.RANK.EQ(W17,($C17,$G17,$K17,$O17,$S17,$W17,$AA17,$AE17,$AI17,$AM17),0)</f>
        <v>5</v>
      </c>
      <c r="Y17" s="33">
        <v>79.5</v>
      </c>
      <c r="Z17" s="17">
        <f>_xlfn.RANK.EQ(Y17,($E17,$I17,$M17,$Q17,$U17,$Y17,$AC17,$AG17,$AK17,$AO17),0)</f>
        <v>5</v>
      </c>
      <c r="AA17" s="17">
        <v>6.36</v>
      </c>
      <c r="AB17" s="17">
        <f>_xlfn.RANK.EQ(AA17,($C17,$G17,$K17,$O17,$S17,$W17,$AA17,$AE17,$AI17,$AM17),0)</f>
        <v>9</v>
      </c>
      <c r="AC17" s="33">
        <v>72</v>
      </c>
      <c r="AD17" s="17">
        <f>_xlfn.RANK.EQ(AC17,($E17,$I17,$M17,$Q17,$U17,$Y17,$AC17,$AG17,$AK17,$AO17),0)</f>
        <v>9</v>
      </c>
      <c r="AE17" s="17">
        <v>7.59</v>
      </c>
      <c r="AF17" s="17">
        <f>_xlfn.RANK.EQ(AE17,($C17,$G17,$K17,$O17,$S17,$W17,$AA17,$AE17,$AI17,$AM17),0)</f>
        <v>3</v>
      </c>
      <c r="AG17" s="33">
        <v>87.5</v>
      </c>
      <c r="AH17" s="17">
        <f>_xlfn.RANK.EQ(AG17,($E17,$I17,$M17,$Q17,$U17,$Y17,$AC17,$AG17,$AK17,$AO17),0)</f>
        <v>2</v>
      </c>
      <c r="AI17" s="17">
        <v>7.27</v>
      </c>
      <c r="AJ17" s="17">
        <f>_xlfn.RANK.EQ(AI17,($C17,$G17,$K17,$O17,$S17,$W17,$AA17,$AE17,$AI17,$AM17),0)</f>
        <v>4</v>
      </c>
      <c r="AK17" s="33">
        <v>82</v>
      </c>
      <c r="AL17" s="17">
        <f>_xlfn.RANK.EQ(AK17,($E17,$I17,$M17,$Q17,$U17,$Y17,$AC17,$AG17,$AK17,$AO17),0)</f>
        <v>4</v>
      </c>
      <c r="AM17" s="17">
        <v>6.82</v>
      </c>
      <c r="AN17" s="17">
        <f>_xlfn.RANK.EQ(AM17,($C17,$G17,$K17,$O17,$S17,$W17,$AA17,$AE17,$AI17,$AM17),0)</f>
        <v>8</v>
      </c>
      <c r="AO17" s="33">
        <f t="shared" si="9"/>
        <v>75</v>
      </c>
      <c r="AP17" s="17">
        <f>_xlfn.RANK.EQ(AO17,($E17,$I17,$M17,$Q17,$U17,$Y17,$AC17,$AG17,$AK17,$AO17),0)</f>
        <v>8</v>
      </c>
    </row>
    <row r="18" spans="1:42" x14ac:dyDescent="0.3">
      <c r="A18" s="77">
        <v>3</v>
      </c>
      <c r="B18" s="31" t="s">
        <v>61</v>
      </c>
      <c r="C18" s="33">
        <v>6.65</v>
      </c>
      <c r="D18" s="17">
        <f>_xlfn.RANK.EQ(C18,($C18,$G18,$K18,$O18,$S18,$W18,$AA18,$AE18,$AI18,$AM18),0)</f>
        <v>4</v>
      </c>
      <c r="E18" s="33">
        <f t="shared" si="2"/>
        <v>73</v>
      </c>
      <c r="F18" s="17">
        <f>_xlfn.RANK.EQ(E18,($E18,$I18,$M18,$Q18,$U18,$Y18,$AC18,$AG18,$AK18,$AO18),0)</f>
        <v>4</v>
      </c>
      <c r="G18" s="17">
        <v>5.86</v>
      </c>
      <c r="H18" s="17">
        <f>_xlfn.RANK.EQ(G18,($C18,$G18,$K18,$O18,$S18,$W18,$AA18,$AE18,$AI18,$AM18),0)</f>
        <v>8</v>
      </c>
      <c r="I18" s="33">
        <f>IF(MROUND(SUM(G18*11),0.5)=0,"",MROUND(SUM(G18*11),0.5))</f>
        <v>64.5</v>
      </c>
      <c r="J18" s="17">
        <f>_xlfn.RANK.EQ(I18,($E18,$I18,$M18,$Q18,$U18,$Y18,$AC18,$AG18,$AK18,$AO18),0)</f>
        <v>8</v>
      </c>
      <c r="K18" s="17">
        <v>6.55</v>
      </c>
      <c r="L18" s="17">
        <f>_xlfn.RANK.EQ(K18,($C18,$G18,$K18,$O18,$S18,$W18,$AA18,$AE18,$AI18,$AM18),0)</f>
        <v>5</v>
      </c>
      <c r="M18" s="33">
        <f t="shared" si="5"/>
        <v>72</v>
      </c>
      <c r="N18" s="17">
        <f>_xlfn.RANK.EQ(M18,($E18,$I18,$M18,$Q18,$U18,$Y18,$AC18,$AG18,$AK18,$AO18),0)</f>
        <v>5</v>
      </c>
      <c r="O18" s="17">
        <v>5.95</v>
      </c>
      <c r="P18" s="17">
        <f>_xlfn.RANK.EQ(O18,($C18,$G18,$K18,$O18,$S18,$W18,$AA18,$AE18,$AI18,$AM18),1)</f>
        <v>4</v>
      </c>
      <c r="Q18" s="33">
        <f t="shared" si="6"/>
        <v>65.5</v>
      </c>
      <c r="R18" s="17">
        <f>_xlfn.RANK.EQ(Q18,($E18,$I18,$M18,$Q18,$U18,$Y18,$AC18,$AG18,$AK18,$AO18),0)</f>
        <v>7</v>
      </c>
      <c r="S18" s="93">
        <v>6.91</v>
      </c>
      <c r="T18" s="17">
        <f>_xlfn.RANK.EQ(S18,($C18,$G18,$K18,$O18,$S18,$W18,$AA18,$AE18,$AI18,$AM18),0)</f>
        <v>3</v>
      </c>
      <c r="U18" s="33">
        <f t="shared" si="0"/>
        <v>76</v>
      </c>
      <c r="V18" s="17">
        <f>_xlfn.RANK.EQ(U18,($E18,$I18,$M18,$Q18,$U18,$Y18,$AC18,$AG18,$AK18,$AO18),0)</f>
        <v>3</v>
      </c>
      <c r="W18" s="17">
        <v>5.5</v>
      </c>
      <c r="X18" s="17">
        <f>_xlfn.RANK.EQ(W18,($C18,$G18,$K18,$O18,$S18,$W18,$AA18,$AE18,$AI18,$AM18),1)</f>
        <v>2</v>
      </c>
      <c r="Y18" s="33">
        <f t="shared" si="3"/>
        <v>60.5</v>
      </c>
      <c r="Z18" s="17">
        <f>_xlfn.RANK.EQ(Y18,($E18,$I18,$M18,$Q18,$U18,$Y18,$AC18,$AG18,$AK18,$AO18),0)</f>
        <v>9</v>
      </c>
      <c r="AA18" s="17">
        <v>7.05</v>
      </c>
      <c r="AB18" s="17">
        <f>_xlfn.RANK.EQ(AA18,($C18,$G18,$K18,$O18,$S18,$W18,$AA18,$AE18,$AI18,$AM18),1)</f>
        <v>9</v>
      </c>
      <c r="AC18" s="33">
        <f t="shared" si="7"/>
        <v>77.5</v>
      </c>
      <c r="AD18" s="17">
        <f>_xlfn.RANK.EQ(AC18,($E18,$I18,$M18,$Q18,$U18,$Y18,$AC18,$AG18,$AK18,$AO18),0)</f>
        <v>2</v>
      </c>
      <c r="AE18" s="94">
        <v>5.36</v>
      </c>
      <c r="AF18" s="17">
        <f>_xlfn.RANK.EQ(AE18,($C18,$G18,$K18,$O18,$S18,$W18,$AA18,$AE18,$AI18,$AM18),0)</f>
        <v>10</v>
      </c>
      <c r="AG18" s="33">
        <f t="shared" si="8"/>
        <v>59</v>
      </c>
      <c r="AH18" s="17">
        <f>_xlfn.RANK.EQ(AG18,($E18,$I18,$M18,$Q18,$U18,$Y18,$AC18,$AG18,$AK18,$AO18),0)</f>
        <v>10</v>
      </c>
      <c r="AI18" s="17">
        <v>7.68</v>
      </c>
      <c r="AJ18" s="17">
        <f>_xlfn.RANK.EQ(AI18,($C18,$G18,$K18,$O18,$S18,$W18,$AA18,$AE18,$AI18,$AM18),0)</f>
        <v>1</v>
      </c>
      <c r="AK18" s="33">
        <f t="shared" si="1"/>
        <v>84.5</v>
      </c>
      <c r="AL18" s="17">
        <f>_xlfn.RANK.EQ(AK18,($E18,$I18,$M18,$Q18,$U18,$Y18,$AC18,$AG18,$AK18,$AO18),0)</f>
        <v>1</v>
      </c>
      <c r="AM18" s="17">
        <v>6</v>
      </c>
      <c r="AN18" s="17">
        <f>_xlfn.RANK.EQ(AM18,($C18,$G18,$K18,$O18,$S18,$W18,$AA18,$AE18,$AI18,$AM18),1)</f>
        <v>5</v>
      </c>
      <c r="AO18" s="33">
        <f t="shared" si="9"/>
        <v>66</v>
      </c>
      <c r="AP18" s="17">
        <f>_xlfn.RANK.EQ(AO18,($E18,$I18,$M18,$Q18,$U18,$Y18,$AC18,$AG18,$AK18,$AO18),0)</f>
        <v>6</v>
      </c>
    </row>
    <row r="19" spans="1:42" x14ac:dyDescent="0.3">
      <c r="A19" s="77"/>
      <c r="B19" s="31" t="s">
        <v>62</v>
      </c>
      <c r="C19" s="33">
        <v>6.78</v>
      </c>
      <c r="D19" s="17">
        <f>_xlfn.RANK.EQ(C19,($C19,$G19,$K19,$O19,$S19,$W19,$AA19,$AE19,$AI19,$AM19),0)</f>
        <v>3</v>
      </c>
      <c r="E19" s="33"/>
      <c r="F19" s="17"/>
      <c r="G19" s="17">
        <v>5.85</v>
      </c>
      <c r="H19" s="17">
        <f>_xlfn.RANK.EQ(G19,($C19,$G19,$K19,$O19,$S19,$W19,$AA19,$AE19,$AI19,$AM19),0)</f>
        <v>7</v>
      </c>
      <c r="I19" s="33"/>
      <c r="J19" s="17"/>
      <c r="K19" s="17">
        <v>6.23</v>
      </c>
      <c r="L19" s="17">
        <f>_xlfn.RANK.EQ(K19,($C19,$G19,$K19,$O19,$S19,$W19,$AA19,$AE19,$AI19,$AM19),0)</f>
        <v>6</v>
      </c>
      <c r="M19" s="33"/>
      <c r="N19" s="17"/>
      <c r="O19" s="17">
        <v>5.79</v>
      </c>
      <c r="P19" s="17">
        <f>_xlfn.RANK.EQ(O19,($C19,$G19,$K19,$O19,$S19,$W19,$AA19,$AE19,$AI19,$AM19),1)</f>
        <v>3</v>
      </c>
      <c r="Q19" s="33"/>
      <c r="R19" s="17"/>
      <c r="S19" s="17">
        <v>7.41</v>
      </c>
      <c r="T19" s="17">
        <f>_xlfn.RANK.EQ(S19,($C19,$G19,$K19,$O19,$S19,$W19,$AA19,$AE19,$AI19,$AM19),0)</f>
        <v>1</v>
      </c>
      <c r="U19" s="33"/>
      <c r="V19" s="17"/>
      <c r="W19" s="17">
        <v>5.55</v>
      </c>
      <c r="X19" s="17">
        <f>_xlfn.RANK.EQ(W19,($C19,$G19,$K19,$O19,$S19,$W19,$AA19,$AE19,$AI19,$AM19),1)</f>
        <v>2</v>
      </c>
      <c r="Y19" s="33"/>
      <c r="Z19" s="17"/>
      <c r="AA19" s="17">
        <v>6.58</v>
      </c>
      <c r="AB19" s="17">
        <f>_xlfn.RANK.EQ(AA19,($C19,$G19,$K19,$O19,$S19,$W19,$AA19,$AE19,$AI19,$AM19),1)</f>
        <v>7</v>
      </c>
      <c r="AC19" s="33"/>
      <c r="AD19" s="17"/>
      <c r="AE19" s="17">
        <v>5.36</v>
      </c>
      <c r="AF19" s="17">
        <f>_xlfn.RANK.EQ(AE19,($C19,$G19,$K19,$O19,$S19,$W19,$AA19,$AE19,$AI19,$AM19),0)</f>
        <v>10</v>
      </c>
      <c r="AG19" s="33"/>
      <c r="AH19" s="17"/>
      <c r="AI19" s="17">
        <v>6.98</v>
      </c>
      <c r="AJ19" s="17">
        <f>_xlfn.RANK.EQ(AI19,($C19,$G19,$K19,$O19,$S19,$W19,$AA19,$AE19,$AI19,$AM19),0)</f>
        <v>2</v>
      </c>
      <c r="AK19" s="33"/>
      <c r="AL19" s="17"/>
      <c r="AM19" s="17">
        <v>6.28</v>
      </c>
      <c r="AN19" s="17">
        <f>_xlfn.RANK.EQ(AM19,($C19,$G19,$K19,$O19,$S19,$W19,$AA19,$AE19,$AI19,$AM19),1)</f>
        <v>6</v>
      </c>
      <c r="AO19" s="33"/>
      <c r="AP19" s="17"/>
    </row>
    <row r="20" spans="1:42" x14ac:dyDescent="0.3">
      <c r="A20" s="77"/>
      <c r="B20" s="31" t="s">
        <v>63</v>
      </c>
      <c r="C20" s="33">
        <v>7.77</v>
      </c>
      <c r="D20" s="17">
        <f>_xlfn.RANK.EQ(C20,($C20,$G20,$K20,$O20,$S20,$W20,$AA20,$AE20,$AI20,$AM20),0)</f>
        <v>2</v>
      </c>
      <c r="E20" s="33">
        <v>86.5</v>
      </c>
      <c r="F20" s="17">
        <f>_xlfn.RANK.EQ(E20,($E20,$I20,$M20,$Q20,$U20,$Y20,$AC20,$AG20,$AK20,$AO20),0)</f>
        <v>2</v>
      </c>
      <c r="G20" s="17">
        <v>6.14</v>
      </c>
      <c r="H20" s="17">
        <f>_xlfn.RANK.EQ(G20,($C20,$G20,$K20,$O20,$S20,$W20,$AA20,$AE20,$AI20,$AM20),0)</f>
        <v>8</v>
      </c>
      <c r="I20" s="33">
        <v>71.5</v>
      </c>
      <c r="J20" s="17">
        <f>_xlfn.RANK.EQ(I20,($E20,$I20,$M20,$Q20,$U20,$Y20,$AC20,$AG20,$AK20,$AO20),0)</f>
        <v>7</v>
      </c>
      <c r="K20" s="17">
        <v>6.73</v>
      </c>
      <c r="L20" s="17">
        <f>_xlfn.RANK.EQ(K20,($C20,$G20,$K20,$O20,$S20,$W20,$AA20,$AE20,$AI20,$AM20),0)</f>
        <v>5</v>
      </c>
      <c r="M20" s="33">
        <v>77</v>
      </c>
      <c r="N20" s="17">
        <f>_xlfn.RANK.EQ(M20,($E20,$I20,$M20,$Q20,$U20,$Y20,$AC20,$AG20,$AK20,$AO20),0)</f>
        <v>5</v>
      </c>
      <c r="O20" s="17">
        <v>6.41</v>
      </c>
      <c r="P20" s="17">
        <f>_xlfn.RANK.EQ(O20,($C20,$G20,$K20,$O20,$S20,$W20,$AA20,$AE20,$AI20,$AM20),1)</f>
        <v>4</v>
      </c>
      <c r="Q20" s="33">
        <f t="shared" si="6"/>
        <v>70.5</v>
      </c>
      <c r="R20" s="17">
        <f>_xlfn.RANK.EQ(Q20,($E20,$I20,$M20,$Q20,$U20,$Y20,$AC20,$AG20,$AK20,$AO20),0)</f>
        <v>8</v>
      </c>
      <c r="S20" s="93">
        <v>8.14</v>
      </c>
      <c r="T20" s="17">
        <f>_xlfn.RANK.EQ(S20,($C20,$G20,$K20,$O20,$S20,$W20,$AA20,$AE20,$AI20,$AM20),0)</f>
        <v>1</v>
      </c>
      <c r="U20" s="33">
        <f t="shared" si="0"/>
        <v>89.5</v>
      </c>
      <c r="V20" s="17">
        <f>_xlfn.RANK.EQ(U20,($E20,$I20,$M20,$Q20,$U20,$Y20,$AC20,$AG20,$AK20,$AO20),0)</f>
        <v>1</v>
      </c>
      <c r="W20" s="17">
        <v>5.86</v>
      </c>
      <c r="X20" s="17">
        <f>_xlfn.RANK.EQ(W20,($C20,$G20,$K20,$O20,$S20,$W20,$AA20,$AE20,$AI20,$AM20),1)</f>
        <v>2</v>
      </c>
      <c r="Y20" s="33">
        <f t="shared" si="3"/>
        <v>64.5</v>
      </c>
      <c r="Z20" s="17">
        <f>_xlfn.RANK.EQ(Y20,($E20,$I20,$M20,$Q20,$U20,$Y20,$AC20,$AG20,$AK20,$AO20),0)</f>
        <v>9</v>
      </c>
      <c r="AA20" s="17">
        <v>7.36</v>
      </c>
      <c r="AB20" s="17">
        <f>_xlfn.RANK.EQ(AA20,($C20,$G20,$K20,$O20,$S20,$W20,$AA20,$AE20,$AI20,$AM20),1)</f>
        <v>7</v>
      </c>
      <c r="AC20" s="33">
        <v>84.5</v>
      </c>
      <c r="AD20" s="17">
        <f>_xlfn.RANK.EQ(AC20,($E20,$I20,$M20,$Q20,$U20,$Y20,$AC20,$AG20,$AK20,$AO20),0)</f>
        <v>3</v>
      </c>
      <c r="AE20" s="94">
        <v>5.36</v>
      </c>
      <c r="AF20" s="17">
        <f>_xlfn.RANK.EQ(AE20,($C20,$G20,$K20,$O20,$S20,$W20,$AA20,$AE20,$AI20,$AM20),0)</f>
        <v>10</v>
      </c>
      <c r="AG20" s="33">
        <f t="shared" si="8"/>
        <v>59</v>
      </c>
      <c r="AH20" s="17">
        <f>_xlfn.RANK.EQ(AG20,($E20,$I20,$M20,$Q20,$U20,$Y20,$AC20,$AG20,$AK20,$AO20),0)</f>
        <v>10</v>
      </c>
      <c r="AI20" s="17">
        <v>7.41</v>
      </c>
      <c r="AJ20" s="17">
        <f>_xlfn.RANK.EQ(AI20,($C20,$G20,$K20,$O20,$S20,$W20,$AA20,$AE20,$AI20,$AM20),0)</f>
        <v>3</v>
      </c>
      <c r="AK20" s="33">
        <f t="shared" si="1"/>
        <v>81.5</v>
      </c>
      <c r="AL20" s="17">
        <f>_xlfn.RANK.EQ(AK20,($E20,$I20,$M20,$Q20,$U20,$Y20,$AC20,$AG20,$AK20,$AO20),0)</f>
        <v>4</v>
      </c>
      <c r="AM20" s="17">
        <v>6.73</v>
      </c>
      <c r="AN20" s="17">
        <f>_xlfn.RANK.EQ(AM20,($C20,$G20,$K20,$O20,$S20,$W20,$AA20,$AE20,$AI20,$AM20),1)</f>
        <v>5</v>
      </c>
      <c r="AO20" s="33">
        <v>76</v>
      </c>
      <c r="AP20" s="17">
        <f>_xlfn.RANK.EQ(AO20,($E20,$I20,$M20,$Q20,$U20,$Y20,$AC20,$AG20,$AK20,$AO20),0)</f>
        <v>6</v>
      </c>
    </row>
    <row r="21" spans="1:42" x14ac:dyDescent="0.3">
      <c r="A21" s="77">
        <v>4</v>
      </c>
      <c r="B21" s="31" t="s">
        <v>61</v>
      </c>
      <c r="C21" s="33"/>
      <c r="D21" s="17" t="e">
        <f>_xlfn.RANK.EQ(C21,($C21,$G21,$K21,$O21,$S21,$W21,$AB21,$AF21,$AJ21,$AN21),1)</f>
        <v>#N/A</v>
      </c>
      <c r="E21" s="33" t="str">
        <f t="shared" si="2"/>
        <v/>
      </c>
      <c r="F21" s="17" t="e">
        <f>_xlfn.RANK.EQ(E21,($C21,$G21,$K21,$O21,$S21,$W21),1)</f>
        <v>#VALUE!</v>
      </c>
      <c r="G21" s="17"/>
      <c r="H21" s="17" t="e">
        <f>_xlfn.RANK.EQ(G21,($C21,$G21,$K21,$O21,$S21,$W21,$AA21,$AE21,$AI21,$AM21),1)</f>
        <v>#N/A</v>
      </c>
      <c r="I21" s="33" t="str">
        <f t="shared" si="4"/>
        <v/>
      </c>
      <c r="J21" s="17" t="e">
        <f>_xlfn.RANK.EQ(I21,($C21,$G21,$K21,$O21,$S21,$W21),1)</f>
        <v>#VALUE!</v>
      </c>
      <c r="K21" s="17"/>
      <c r="L21" s="17" t="e">
        <f>_xlfn.RANK.EQ(K21,($C21,$G21,$K21,$O21,$S21,$W21,$AA21,$AE21,$AI21,$AM21),1)</f>
        <v>#N/A</v>
      </c>
      <c r="M21" s="33" t="str">
        <f t="shared" si="5"/>
        <v/>
      </c>
      <c r="N21" s="17" t="e">
        <f>_xlfn.RANK.EQ(M21,($C21,$G21,$K21,$O21,$S21,$W21),1)</f>
        <v>#VALUE!</v>
      </c>
      <c r="O21" s="17"/>
      <c r="P21" s="17" t="e">
        <f>_xlfn.RANK.EQ(O21,($C21,$G21,$K21,$O21,$S21,$W21,$AA21,$AE21,$AI21,$AM21),1)</f>
        <v>#N/A</v>
      </c>
      <c r="Q21" s="33" t="str">
        <f t="shared" si="6"/>
        <v/>
      </c>
      <c r="R21" s="17" t="e">
        <f>_xlfn.RANK.EQ(Q21,($C21,$G21,$K21,$O21,$S21,$W21),1)</f>
        <v>#VALUE!</v>
      </c>
      <c r="S21" s="17"/>
      <c r="T21" s="17" t="e">
        <f>_xlfn.RANK.EQ(S21,($C21,$G21,$K21,$O21,$S21,$W21,$AA21,$AE21,$AI21,$AM21),0)</f>
        <v>#N/A</v>
      </c>
      <c r="U21" s="33" t="str">
        <f t="shared" si="0"/>
        <v/>
      </c>
      <c r="V21" s="17" t="e">
        <f>_xlfn.RANK.EQ(U21,($C21,$G21,$K21,$O21,$S21,$W21),1)</f>
        <v>#VALUE!</v>
      </c>
      <c r="W21" s="17"/>
      <c r="X21" s="17" t="e">
        <f>_xlfn.RANK.EQ(W21,($C21,$G21,$K21,$O21,$S21,$W21,$AA21,$AE21,$AI21,$AM21),1)</f>
        <v>#N/A</v>
      </c>
      <c r="Y21" s="33" t="str">
        <f t="shared" si="3"/>
        <v/>
      </c>
      <c r="Z21" s="17" t="e">
        <f>_xlfn.RANK.EQ(Y21,($C21,$G21,$K21,$O21,$S21,$W21),1)</f>
        <v>#VALUE!</v>
      </c>
      <c r="AA21" s="17"/>
      <c r="AB21" s="17" t="e">
        <f>_xlfn.RANK.EQ(AA21,($C21,$G21,$K21,$O21,$S21,$W21,$AA21,$AE21,$AI21,$AM21),1)</f>
        <v>#N/A</v>
      </c>
      <c r="AC21" s="33" t="str">
        <f t="shared" si="7"/>
        <v/>
      </c>
      <c r="AD21" s="17" t="e">
        <f>_xlfn.RANK.EQ(AC21,($C21,$G21,$K21,$O21,$S21,$W21),1)</f>
        <v>#VALUE!</v>
      </c>
      <c r="AE21" s="17"/>
      <c r="AF21" s="17" t="e">
        <f>_xlfn.RANK.EQ(AE21,($C21,$G21,$K21,$O21,$S21,$W21,$AA21,$AE21,$AI21,$AM21),1)</f>
        <v>#N/A</v>
      </c>
      <c r="AG21" s="33" t="str">
        <f t="shared" si="8"/>
        <v/>
      </c>
      <c r="AH21" s="17" t="e">
        <f>_xlfn.RANK.EQ(AG21,($C21,$G21,$K21,$O21,$S21,$W21),1)</f>
        <v>#VALUE!</v>
      </c>
      <c r="AI21" s="17"/>
      <c r="AJ21" s="17" t="e">
        <f>_xlfn.RANK.EQ(AI21,($C21,$G21,$K21,$O21,$S21,$W21,$AA21,$AE21,$AI21,$AM21),1)</f>
        <v>#N/A</v>
      </c>
      <c r="AK21" s="33" t="str">
        <f t="shared" si="1"/>
        <v/>
      </c>
      <c r="AL21" s="17" t="e">
        <f>_xlfn.RANK.EQ(AK21,($C21,$G21,$K21,$O21,$S21,$W21),1)</f>
        <v>#VALUE!</v>
      </c>
      <c r="AM21" s="17"/>
      <c r="AN21" s="17" t="e">
        <f>_xlfn.RANK.EQ(AM21,($C21,$G21,$K21,$O21,$S21,$W21,$AA21,$AE21,$AI21,$AM21),1)</f>
        <v>#N/A</v>
      </c>
      <c r="AO21" s="33" t="str">
        <f t="shared" si="9"/>
        <v/>
      </c>
      <c r="AP21" s="17" t="e">
        <f>_xlfn.RANK.EQ(AO21,($C21,$G21,$K21,$O21,$S21,$W21),1)</f>
        <v>#VALUE!</v>
      </c>
    </row>
    <row r="22" spans="1:42" x14ac:dyDescent="0.3">
      <c r="A22" s="77"/>
      <c r="B22" s="31" t="s">
        <v>62</v>
      </c>
      <c r="C22" s="33"/>
      <c r="D22" s="17" t="e">
        <f>_xlfn.RANK.EQ(C22,($C22,$G22,$K22,$O22,$S22,$W22,$AB22,$AF22,$AJ22,$AN22),1)</f>
        <v>#N/A</v>
      </c>
      <c r="E22" s="33" t="str">
        <f t="shared" si="2"/>
        <v/>
      </c>
      <c r="F22" s="17" t="e">
        <f>_xlfn.RANK.EQ(E22,($C22,$G22,$K22,$O22,$S22,$W22),1)</f>
        <v>#VALUE!</v>
      </c>
      <c r="G22" s="17"/>
      <c r="H22" s="17" t="e">
        <f>_xlfn.RANK.EQ(G22,($C22,$G22,$K22,$O22,$S22,$W22,$AA22,$AE22,$AI22,$AM22),1)</f>
        <v>#N/A</v>
      </c>
      <c r="I22" s="33" t="str">
        <f t="shared" si="4"/>
        <v/>
      </c>
      <c r="J22" s="17" t="e">
        <f>_xlfn.RANK.EQ(I22,($C22,$G22,$K22,$O22,$S22,$W22),1)</f>
        <v>#VALUE!</v>
      </c>
      <c r="K22" s="17"/>
      <c r="L22" s="17" t="e">
        <f>_xlfn.RANK.EQ(K22,($C22,$G22,$K22,$O22,$S22,$W22,$AA22,$AE22,$AI22,$AM22),1)</f>
        <v>#N/A</v>
      </c>
      <c r="M22" s="33" t="str">
        <f t="shared" si="5"/>
        <v/>
      </c>
      <c r="N22" s="17" t="e">
        <f>_xlfn.RANK.EQ(M22,($C22,$G22,$K22,$O22,$S22,$W22),1)</f>
        <v>#VALUE!</v>
      </c>
      <c r="O22" s="17"/>
      <c r="P22" s="17" t="e">
        <f>_xlfn.RANK.EQ(O22,($C22,$G22,$K22,$O22,$S22,$W22,$AA22,$AE22,$AI22,$AM22),1)</f>
        <v>#N/A</v>
      </c>
      <c r="Q22" s="33" t="str">
        <f t="shared" si="6"/>
        <v/>
      </c>
      <c r="R22" s="17" t="e">
        <f>_xlfn.RANK.EQ(Q22,($C22,$G22,$K22,$O22,$S22,$W22),1)</f>
        <v>#VALUE!</v>
      </c>
      <c r="S22" s="17"/>
      <c r="T22" s="17" t="e">
        <f>_xlfn.RANK.EQ(S22,($C22,$G22,$K22,$O22,$S22,$W22,$AA22,$AE22,$AI22,$AM22),0)</f>
        <v>#N/A</v>
      </c>
      <c r="U22" s="33" t="str">
        <f t="shared" si="0"/>
        <v/>
      </c>
      <c r="V22" s="17" t="e">
        <f>_xlfn.RANK.EQ(U22,($C22,$G22,$K22,$O22,$S22,$W22),1)</f>
        <v>#VALUE!</v>
      </c>
      <c r="W22" s="17"/>
      <c r="X22" s="17" t="e">
        <f>_xlfn.RANK.EQ(W22,($C22,$G22,$K22,$O22,$S22,$W22,$AA22,$AE22,$AI22,$AM22),1)</f>
        <v>#N/A</v>
      </c>
      <c r="Y22" s="33" t="str">
        <f t="shared" si="3"/>
        <v/>
      </c>
      <c r="Z22" s="17" t="e">
        <f>_xlfn.RANK.EQ(Y22,($C22,$G22,$K22,$O22,$S22,$W22),1)</f>
        <v>#VALUE!</v>
      </c>
      <c r="AA22" s="17"/>
      <c r="AB22" s="17" t="e">
        <f>_xlfn.RANK.EQ(AA22,($C22,$G22,$K22,$O22,$S22,$W22,$AA22,$AE22,$AI22,$AM22),1)</f>
        <v>#N/A</v>
      </c>
      <c r="AC22" s="33" t="str">
        <f t="shared" si="7"/>
        <v/>
      </c>
      <c r="AD22" s="17" t="e">
        <f>_xlfn.RANK.EQ(AC22,($C22,$G22,$K22,$O22,$S22,$W22),1)</f>
        <v>#VALUE!</v>
      </c>
      <c r="AE22" s="17"/>
      <c r="AF22" s="17" t="e">
        <f>_xlfn.RANK.EQ(AE22,($C22,$G22,$K22,$O22,$S22,$W22,$AA22,$AE22,$AI22,$AM22),1)</f>
        <v>#N/A</v>
      </c>
      <c r="AG22" s="33" t="str">
        <f t="shared" si="8"/>
        <v/>
      </c>
      <c r="AH22" s="17" t="e">
        <f>_xlfn.RANK.EQ(AG22,($C22,$G22,$K22,$O22,$S22,$W22),1)</f>
        <v>#VALUE!</v>
      </c>
      <c r="AI22" s="17"/>
      <c r="AJ22" s="17" t="e">
        <f>_xlfn.RANK.EQ(AI22,($C22,$G22,$K22,$O22,$S22,$W22,$AA22,$AE22,$AI22,$AM22),1)</f>
        <v>#N/A</v>
      </c>
      <c r="AK22" s="33" t="str">
        <f t="shared" si="1"/>
        <v/>
      </c>
      <c r="AL22" s="17" t="e">
        <f>_xlfn.RANK.EQ(AK22,($C22,$G22,$K22,$O22,$S22,$W22),1)</f>
        <v>#VALUE!</v>
      </c>
      <c r="AM22" s="17"/>
      <c r="AN22" s="17" t="e">
        <f>_xlfn.RANK.EQ(AM22,($C22,$G22,$K22,$O22,$S22,$W22,$AA22,$AE22,$AI22,$AM22),1)</f>
        <v>#N/A</v>
      </c>
      <c r="AO22" s="33" t="str">
        <f t="shared" si="9"/>
        <v/>
      </c>
      <c r="AP22" s="17" t="e">
        <f>_xlfn.RANK.EQ(AO22,($C22,$G22,$K22,$O22,$S22,$W22),1)</f>
        <v>#VALUE!</v>
      </c>
    </row>
    <row r="23" spans="1:42" x14ac:dyDescent="0.3">
      <c r="A23" s="77"/>
      <c r="B23" s="31" t="s">
        <v>63</v>
      </c>
      <c r="C23" s="33"/>
      <c r="D23" s="17" t="e">
        <f>_xlfn.RANK.EQ(C23,($C23,$G23,$K23,$O23,$S23,$W23,$AB23,$AF23,$AJ23,$AN23),1)</f>
        <v>#N/A</v>
      </c>
      <c r="E23" s="33" t="str">
        <f t="shared" si="2"/>
        <v/>
      </c>
      <c r="F23" s="17" t="e">
        <f>_xlfn.RANK.EQ(E23,($C23,$G23,$K23,$O23,$S23,$W23),1)</f>
        <v>#VALUE!</v>
      </c>
      <c r="G23" s="17"/>
      <c r="H23" s="17" t="e">
        <f>_xlfn.RANK.EQ(G23,($C23,$G23,$K23,$O23,$S23,$W23,$AA23,$AE23,$AI23,$AM23),1)</f>
        <v>#N/A</v>
      </c>
      <c r="I23" s="33" t="str">
        <f t="shared" si="4"/>
        <v/>
      </c>
      <c r="J23" s="17" t="e">
        <f>_xlfn.RANK.EQ(I23,($C23,$G23,$K23,$O23,$S23,$W23),1)</f>
        <v>#VALUE!</v>
      </c>
      <c r="K23" s="17"/>
      <c r="L23" s="17" t="e">
        <f>_xlfn.RANK.EQ(K23,($C23,$G23,$K23,$O23,$S23,$W23,$AA23,$AE23,$AI23,$AM23),1)</f>
        <v>#N/A</v>
      </c>
      <c r="M23" s="33" t="str">
        <f t="shared" si="5"/>
        <v/>
      </c>
      <c r="N23" s="17" t="e">
        <f>_xlfn.RANK.EQ(M23,($C23,$G23,$K23,$O23,$S23,$W23),1)</f>
        <v>#VALUE!</v>
      </c>
      <c r="O23" s="17"/>
      <c r="P23" s="17" t="e">
        <f>_xlfn.RANK.EQ(O23,($C23,$G23,$K23,$O23,$S23,$W23,$AA23,$AE23,$AI23,$AM23),1)</f>
        <v>#N/A</v>
      </c>
      <c r="Q23" s="33" t="str">
        <f t="shared" si="6"/>
        <v/>
      </c>
      <c r="R23" s="17" t="e">
        <f>_xlfn.RANK.EQ(Q23,($C23,$G23,$K23,$O23,$S23,$W23),1)</f>
        <v>#VALUE!</v>
      </c>
      <c r="S23" s="17"/>
      <c r="T23" s="17" t="e">
        <f>_xlfn.RANK.EQ(S23,($C23,$G23,$K23,$O23,$S23,$W23,$AA23,$AE23,$AI23,$AM23),0)</f>
        <v>#N/A</v>
      </c>
      <c r="U23" s="33" t="str">
        <f t="shared" si="0"/>
        <v/>
      </c>
      <c r="V23" s="17" t="e">
        <f>_xlfn.RANK.EQ(U23,($C23,$G23,$K23,$O23,$S23,$W23),1)</f>
        <v>#VALUE!</v>
      </c>
      <c r="W23" s="17"/>
      <c r="X23" s="17" t="e">
        <f>_xlfn.RANK.EQ(W23,($C23,$G23,$K23,$O23,$S23,$W23,$AA23,$AE23,$AI23,$AM23),1)</f>
        <v>#N/A</v>
      </c>
      <c r="Y23" s="33" t="str">
        <f t="shared" si="3"/>
        <v/>
      </c>
      <c r="Z23" s="17" t="e">
        <f>_xlfn.RANK.EQ(Y23,($C23,$G23,$K23,$O23,$S23,$W23),1)</f>
        <v>#VALUE!</v>
      </c>
      <c r="AA23" s="17"/>
      <c r="AB23" s="17" t="e">
        <f>_xlfn.RANK.EQ(AA23,($C23,$G23,$K23,$O23,$S23,$W23,$AA23,$AE23,$AI23,$AM23),1)</f>
        <v>#N/A</v>
      </c>
      <c r="AC23" s="33" t="str">
        <f t="shared" si="7"/>
        <v/>
      </c>
      <c r="AD23" s="17" t="e">
        <f>_xlfn.RANK.EQ(AC23,($C23,$G23,$K23,$O23,$S23,$W23),1)</f>
        <v>#VALUE!</v>
      </c>
      <c r="AE23" s="17"/>
      <c r="AF23" s="17" t="e">
        <f>_xlfn.RANK.EQ(AE23,($C23,$G23,$K23,$O23,$S23,$W23,$AA23,$AE23,$AI23,$AM23),1)</f>
        <v>#N/A</v>
      </c>
      <c r="AG23" s="33" t="str">
        <f t="shared" si="8"/>
        <v/>
      </c>
      <c r="AH23" s="17" t="e">
        <f>_xlfn.RANK.EQ(AG23,($C23,$G23,$K23,$O23,$S23,$W23),1)</f>
        <v>#VALUE!</v>
      </c>
      <c r="AI23" s="17"/>
      <c r="AJ23" s="17" t="e">
        <f>_xlfn.RANK.EQ(AI23,($C23,$G23,$K23,$O23,$S23,$W23,$AA23,$AE23,$AI23,$AM23),1)</f>
        <v>#N/A</v>
      </c>
      <c r="AK23" s="33" t="str">
        <f t="shared" si="1"/>
        <v/>
      </c>
      <c r="AL23" s="17" t="e">
        <f>_xlfn.RANK.EQ(AK23,($C23,$G23,$K23,$O23,$S23,$W23),1)</f>
        <v>#VALUE!</v>
      </c>
      <c r="AM23" s="17"/>
      <c r="AN23" s="17" t="e">
        <f>_xlfn.RANK.EQ(AM23,($C23,$G23,$K23,$O23,$S23,$W23,$AA23,$AE23,$AI23,$AM23),1)</f>
        <v>#N/A</v>
      </c>
      <c r="AO23" s="33" t="str">
        <f t="shared" si="9"/>
        <v/>
      </c>
      <c r="AP23" s="17" t="e">
        <f>_xlfn.RANK.EQ(AO23,($C23,$G23,$K23,$O23,$S23,$W23),1)</f>
        <v>#VALUE!</v>
      </c>
    </row>
    <row r="24" spans="1:42" x14ac:dyDescent="0.3">
      <c r="A24" s="77">
        <v>5</v>
      </c>
      <c r="B24" s="31" t="s">
        <v>61</v>
      </c>
      <c r="C24" s="33"/>
      <c r="D24" s="17" t="e">
        <f>_xlfn.RANK.EQ(C24,($C24,$G24,$K24,$O24,$S24,$W24,$AB24,$AF24,$AJ24,$AN24),1)</f>
        <v>#N/A</v>
      </c>
      <c r="E24" s="33" t="str">
        <f t="shared" si="2"/>
        <v/>
      </c>
      <c r="F24" s="17" t="e">
        <f>_xlfn.RANK.EQ(E24,($C24,$G24,$K24,$O24,$S24,$W24),1)</f>
        <v>#VALUE!</v>
      </c>
      <c r="G24" s="17"/>
      <c r="H24" s="17" t="e">
        <f>_xlfn.RANK.EQ(G24,($C24,$G24,$K24,$O24,$S24,$W24,$AA24,$AE24,$AI24,$AM24),1)</f>
        <v>#N/A</v>
      </c>
      <c r="I24" s="33" t="str">
        <f t="shared" si="4"/>
        <v/>
      </c>
      <c r="J24" s="17" t="e">
        <f>_xlfn.RANK.EQ(I24,($C24,$G24,$K24,$O24,$S24,$W24),1)</f>
        <v>#VALUE!</v>
      </c>
      <c r="K24" s="17"/>
      <c r="L24" s="17" t="e">
        <f>_xlfn.RANK.EQ(K24,($C24,$G24,$K24,$O24,$S24,$W24,$AA24,$AE24,$AI24,$AM24),1)</f>
        <v>#N/A</v>
      </c>
      <c r="M24" s="33" t="str">
        <f t="shared" si="5"/>
        <v/>
      </c>
      <c r="N24" s="17" t="e">
        <f>_xlfn.RANK.EQ(M24,($C24,$G24,$K24,$O24,$S24,$W24),1)</f>
        <v>#VALUE!</v>
      </c>
      <c r="O24" s="17"/>
      <c r="P24" s="17" t="e">
        <f>_xlfn.RANK.EQ(O24,($C24,$G24,$K24,$O24,$S24,$W24,$AA24,$AE24,$AI24,$AM24),1)</f>
        <v>#N/A</v>
      </c>
      <c r="Q24" s="33" t="str">
        <f t="shared" si="6"/>
        <v/>
      </c>
      <c r="R24" s="17" t="e">
        <f>_xlfn.RANK.EQ(Q24,($C24,$G24,$K24,$O24,$S24,$W24),1)</f>
        <v>#VALUE!</v>
      </c>
      <c r="S24" s="17"/>
      <c r="T24" s="17" t="e">
        <f>_xlfn.RANK.EQ(S24,($C24,$G24,$K24,$O24,$S24,$W24,$AA24,$AE24,$AI24,$AM24),0)</f>
        <v>#N/A</v>
      </c>
      <c r="U24" s="33" t="str">
        <f t="shared" si="0"/>
        <v/>
      </c>
      <c r="V24" s="17" t="e">
        <f>_xlfn.RANK.EQ(U24,($C24,$G24,$K24,$O24,$S24,$W24),1)</f>
        <v>#VALUE!</v>
      </c>
      <c r="W24" s="17"/>
      <c r="X24" s="17" t="e">
        <f>_xlfn.RANK.EQ(W24,($C24,$G24,$K24,$O24,$S24,$W24,$AA24,$AE24,$AI24,$AM24),1)</f>
        <v>#N/A</v>
      </c>
      <c r="Y24" s="33" t="str">
        <f t="shared" si="3"/>
        <v/>
      </c>
      <c r="Z24" s="17" t="e">
        <f>_xlfn.RANK.EQ(Y24,($C24,$G24,$K24,$O24,$S24,$W24),1)</f>
        <v>#VALUE!</v>
      </c>
      <c r="AA24" s="17"/>
      <c r="AB24" s="17" t="e">
        <f>_xlfn.RANK.EQ(AA24,($C24,$G24,$K24,$O24,$S24,$W24,$AA24,$AE24,$AI24,$AM24),1)</f>
        <v>#N/A</v>
      </c>
      <c r="AC24" s="33" t="str">
        <f t="shared" si="7"/>
        <v/>
      </c>
      <c r="AD24" s="17" t="e">
        <f>_xlfn.RANK.EQ(AC24,($C24,$G24,$K24,$O24,$S24,$W24),1)</f>
        <v>#VALUE!</v>
      </c>
      <c r="AE24" s="17"/>
      <c r="AF24" s="17" t="e">
        <f>_xlfn.RANK.EQ(AE24,($C24,$G24,$K24,$O24,$S24,$W24,$AA24,$AE24,$AI24,$AM24),1)</f>
        <v>#N/A</v>
      </c>
      <c r="AG24" s="33" t="str">
        <f t="shared" si="8"/>
        <v/>
      </c>
      <c r="AH24" s="17" t="e">
        <f>_xlfn.RANK.EQ(AG24,($C24,$G24,$K24,$O24,$S24,$W24),1)</f>
        <v>#VALUE!</v>
      </c>
      <c r="AI24" s="17"/>
      <c r="AJ24" s="17" t="e">
        <f>_xlfn.RANK.EQ(AI24,($C24,$G24,$K24,$O24,$S24,$W24,$AA24,$AE24,$AI24,$AM24),1)</f>
        <v>#N/A</v>
      </c>
      <c r="AK24" s="33" t="str">
        <f t="shared" si="1"/>
        <v/>
      </c>
      <c r="AL24" s="17" t="e">
        <f>_xlfn.RANK.EQ(AK24,($C24,$G24,$K24,$O24,$S24,$W24),1)</f>
        <v>#VALUE!</v>
      </c>
      <c r="AM24" s="17"/>
      <c r="AN24" s="17" t="e">
        <f>_xlfn.RANK.EQ(AM24,($C24,$G24,$K24,$O24,$S24,$W24,$AA24,$AE24,$AI24,$AM24),1)</f>
        <v>#N/A</v>
      </c>
      <c r="AO24" s="33" t="str">
        <f t="shared" si="9"/>
        <v/>
      </c>
      <c r="AP24" s="17" t="e">
        <f>_xlfn.RANK.EQ(AO24,($C24,$G24,$K24,$O24,$S24,$W24),1)</f>
        <v>#VALUE!</v>
      </c>
    </row>
    <row r="25" spans="1:42" x14ac:dyDescent="0.3">
      <c r="A25" s="77"/>
      <c r="B25" s="31" t="s">
        <v>62</v>
      </c>
      <c r="C25" s="33"/>
      <c r="D25" s="17" t="e">
        <f>_xlfn.RANK.EQ(C25,($C25,$G25,$K25,$O25,$S25,$W25,$AB25,$AF25,$AJ25,$AN25),1)</f>
        <v>#N/A</v>
      </c>
      <c r="E25" s="33" t="str">
        <f t="shared" si="2"/>
        <v/>
      </c>
      <c r="F25" s="17" t="e">
        <f>_xlfn.RANK.EQ(E25,($C25,$G25,$K25,$O25,$S25,$W25),1)</f>
        <v>#VALUE!</v>
      </c>
      <c r="G25" s="17"/>
      <c r="H25" s="17" t="e">
        <f>_xlfn.RANK.EQ(G25,($C25,$G25,$K25,$O25,$S25,$W25,$AA25,$AE25,$AI25,$AM25),1)</f>
        <v>#N/A</v>
      </c>
      <c r="I25" s="33" t="str">
        <f t="shared" si="4"/>
        <v/>
      </c>
      <c r="J25" s="17" t="e">
        <f>_xlfn.RANK.EQ(I25,($C25,$G25,$K25,$O25,$S25,$W25),1)</f>
        <v>#VALUE!</v>
      </c>
      <c r="K25" s="17"/>
      <c r="L25" s="17" t="e">
        <f>_xlfn.RANK.EQ(K25,($C25,$G25,$K25,$O25,$S25,$W25,$AA25,$AE25,$AI25,$AM25),1)</f>
        <v>#N/A</v>
      </c>
      <c r="M25" s="33" t="str">
        <f t="shared" si="5"/>
        <v/>
      </c>
      <c r="N25" s="17" t="e">
        <f>_xlfn.RANK.EQ(M25,($C25,$G25,$K25,$O25,$S25,$W25),1)</f>
        <v>#VALUE!</v>
      </c>
      <c r="O25" s="17"/>
      <c r="P25" s="17" t="e">
        <f>_xlfn.RANK.EQ(O25,($C25,$G25,$K25,$O25,$S25,$W25,$AA25,$AE25,$AI25,$AM25),1)</f>
        <v>#N/A</v>
      </c>
      <c r="Q25" s="33" t="str">
        <f t="shared" si="6"/>
        <v/>
      </c>
      <c r="R25" s="17" t="e">
        <f>_xlfn.RANK.EQ(Q25,($C25,$G25,$K25,$O25,$S25,$W25),1)</f>
        <v>#VALUE!</v>
      </c>
      <c r="S25" s="17"/>
      <c r="T25" s="17" t="e">
        <f>_xlfn.RANK.EQ(S25,($C25,$G25,$K25,$O25,$S25,$W25,$AA25,$AE25,$AI25,$AM25),0)</f>
        <v>#N/A</v>
      </c>
      <c r="U25" s="33" t="str">
        <f t="shared" si="0"/>
        <v/>
      </c>
      <c r="V25" s="17" t="e">
        <f>_xlfn.RANK.EQ(U25,($C25,$G25,$K25,$O25,$S25,$W25),1)</f>
        <v>#VALUE!</v>
      </c>
      <c r="W25" s="17"/>
      <c r="X25" s="17" t="e">
        <f>_xlfn.RANK.EQ(W25,($C25,$G25,$K25,$O25,$S25,$W25,$AA25,$AE25,$AI25,$AM25),1)</f>
        <v>#N/A</v>
      </c>
      <c r="Y25" s="33" t="str">
        <f t="shared" si="3"/>
        <v/>
      </c>
      <c r="Z25" s="17" t="e">
        <f>_xlfn.RANK.EQ(Y25,($C25,$G25,$K25,$O25,$S25,$W25),1)</f>
        <v>#VALUE!</v>
      </c>
      <c r="AA25" s="17"/>
      <c r="AB25" s="17" t="e">
        <f>_xlfn.RANK.EQ(AA25,($C25,$G25,$K25,$O25,$S25,$W25,$AA25,$AE25,$AI25,$AM25),1)</f>
        <v>#N/A</v>
      </c>
      <c r="AC25" s="33" t="str">
        <f t="shared" si="7"/>
        <v/>
      </c>
      <c r="AD25" s="17" t="e">
        <f>_xlfn.RANK.EQ(AC25,($C25,$G25,$K25,$O25,$S25,$W25),1)</f>
        <v>#VALUE!</v>
      </c>
      <c r="AE25" s="17"/>
      <c r="AF25" s="17" t="e">
        <f>_xlfn.RANK.EQ(AE25,($C25,$G25,$K25,$O25,$S25,$W25,$AA25,$AE25,$AI25,$AM25),1)</f>
        <v>#N/A</v>
      </c>
      <c r="AG25" s="33" t="str">
        <f t="shared" si="8"/>
        <v/>
      </c>
      <c r="AH25" s="17" t="e">
        <f>_xlfn.RANK.EQ(AG25,($C25,$G25,$K25,$O25,$S25,$W25),1)</f>
        <v>#VALUE!</v>
      </c>
      <c r="AI25" s="17"/>
      <c r="AJ25" s="17" t="e">
        <f>_xlfn.RANK.EQ(AI25,($C25,$G25,$K25,$O25,$S25,$W25,$AA25,$AE25,$AI25,$AM25),1)</f>
        <v>#N/A</v>
      </c>
      <c r="AK25" s="33" t="str">
        <f t="shared" si="1"/>
        <v/>
      </c>
      <c r="AL25" s="17" t="e">
        <f>_xlfn.RANK.EQ(AK25,($C25,$G25,$K25,$O25,$S25,$W25),1)</f>
        <v>#VALUE!</v>
      </c>
      <c r="AM25" s="17"/>
      <c r="AN25" s="17" t="e">
        <f>_xlfn.RANK.EQ(AM25,($C25,$G25,$K25,$O25,$S25,$W25,$AA25,$AE25,$AI25,$AM25),1)</f>
        <v>#N/A</v>
      </c>
      <c r="AO25" s="33" t="str">
        <f t="shared" si="9"/>
        <v/>
      </c>
      <c r="AP25" s="17" t="e">
        <f>_xlfn.RANK.EQ(AO25,($C25,$G25,$K25,$O25,$S25,$W25),1)</f>
        <v>#VALUE!</v>
      </c>
    </row>
    <row r="26" spans="1:42" x14ac:dyDescent="0.3">
      <c r="A26" s="77"/>
      <c r="B26" s="31" t="s">
        <v>63</v>
      </c>
      <c r="C26" s="33"/>
      <c r="D26" s="17" t="e">
        <f>_xlfn.RANK.EQ(C26,($C26,$G26,$K26,$O26,$S26,$W26,$AB26,$AF26,$AJ26,$AN26),1)</f>
        <v>#N/A</v>
      </c>
      <c r="E26" s="33" t="str">
        <f t="shared" si="2"/>
        <v/>
      </c>
      <c r="F26" s="17" t="e">
        <f>_xlfn.RANK.EQ(E26,($C26,$G26,$K26,$O26,$S26,$W26),1)</f>
        <v>#VALUE!</v>
      </c>
      <c r="G26" s="17"/>
      <c r="H26" s="17" t="e">
        <f>_xlfn.RANK.EQ(G26,($C26,$G26,$K26,$O26,$S26,$W26,$AA26,$AE26,$AI26,$AM26),1)</f>
        <v>#N/A</v>
      </c>
      <c r="I26" s="33" t="str">
        <f t="shared" si="4"/>
        <v/>
      </c>
      <c r="J26" s="17" t="e">
        <f>_xlfn.RANK.EQ(I26,($C26,$G26,$K26,$O26,$S26,$W26),1)</f>
        <v>#VALUE!</v>
      </c>
      <c r="K26" s="17"/>
      <c r="L26" s="17" t="e">
        <f>_xlfn.RANK.EQ(K26,($C26,$G26,$K26,$O26,$S26,$W26,$AA26,$AE26,$AI26,$AM26),1)</f>
        <v>#N/A</v>
      </c>
      <c r="M26" s="33" t="str">
        <f t="shared" si="5"/>
        <v/>
      </c>
      <c r="N26" s="17" t="e">
        <f>_xlfn.RANK.EQ(M26,($C26,$G26,$K26,$O26,$S26,$W26),1)</f>
        <v>#VALUE!</v>
      </c>
      <c r="O26" s="17"/>
      <c r="P26" s="17" t="e">
        <f>_xlfn.RANK.EQ(O26,($C26,$G26,$K26,$O26,$S26,$W26,$AA26,$AE26,$AI26,$AM26),1)</f>
        <v>#N/A</v>
      </c>
      <c r="Q26" s="33" t="str">
        <f t="shared" si="6"/>
        <v/>
      </c>
      <c r="R26" s="17" t="e">
        <f>_xlfn.RANK.EQ(Q26,($C26,$G26,$K26,$O26,$S26,$W26),1)</f>
        <v>#VALUE!</v>
      </c>
      <c r="S26" s="17"/>
      <c r="T26" s="17" t="e">
        <f>_xlfn.RANK.EQ(S26,($C26,$G26,$K26,$O26,$S26,$W26,$AA26,$AE26,$AI26,$AM26),0)</f>
        <v>#N/A</v>
      </c>
      <c r="U26" s="33" t="str">
        <f t="shared" si="0"/>
        <v/>
      </c>
      <c r="V26" s="17" t="e">
        <f>_xlfn.RANK.EQ(U26,($C26,$G26,$K26,$O26,$S26,$W26),1)</f>
        <v>#VALUE!</v>
      </c>
      <c r="W26" s="17"/>
      <c r="X26" s="17" t="e">
        <f>_xlfn.RANK.EQ(W26,($C26,$G26,$K26,$O26,$S26,$W26,$AA26,$AE26,$AI26,$AM26),1)</f>
        <v>#N/A</v>
      </c>
      <c r="Y26" s="33" t="str">
        <f t="shared" si="3"/>
        <v/>
      </c>
      <c r="Z26" s="17" t="e">
        <f>_xlfn.RANK.EQ(Y26,($C26,$G26,$K26,$O26,$S26,$W26),1)</f>
        <v>#VALUE!</v>
      </c>
      <c r="AA26" s="17"/>
      <c r="AB26" s="17" t="e">
        <f>_xlfn.RANK.EQ(AA26,($C26,$G26,$K26,$O26,$S26,$W26,$AA26,$AE26,$AI26,$AM26),1)</f>
        <v>#N/A</v>
      </c>
      <c r="AC26" s="33" t="str">
        <f t="shared" si="7"/>
        <v/>
      </c>
      <c r="AD26" s="17" t="e">
        <f>_xlfn.RANK.EQ(AC26,($C26,$G26,$K26,$O26,$S26,$W26),1)</f>
        <v>#VALUE!</v>
      </c>
      <c r="AE26" s="17"/>
      <c r="AF26" s="17" t="e">
        <f>_xlfn.RANK.EQ(AE26,($C26,$G26,$K26,$O26,$S26,$W26,$AA26,$AE26,$AI26,$AM26),1)</f>
        <v>#N/A</v>
      </c>
      <c r="AG26" s="33" t="str">
        <f t="shared" si="8"/>
        <v/>
      </c>
      <c r="AH26" s="17" t="e">
        <f>_xlfn.RANK.EQ(AG26,($C26,$G26,$K26,$O26,$S26,$W26),1)</f>
        <v>#VALUE!</v>
      </c>
      <c r="AI26" s="17"/>
      <c r="AJ26" s="17" t="e">
        <f>_xlfn.RANK.EQ(AI26,($C26,$G26,$K26,$O26,$S26,$W26,$AA26,$AE26,$AI26,$AM26),1)</f>
        <v>#N/A</v>
      </c>
      <c r="AK26" s="33" t="str">
        <f t="shared" si="1"/>
        <v/>
      </c>
      <c r="AL26" s="17" t="e">
        <f>_xlfn.RANK.EQ(AK26,($C26,$G26,$K26,$O26,$S26,$W26),1)</f>
        <v>#VALUE!</v>
      </c>
      <c r="AM26" s="17"/>
      <c r="AN26" s="17" t="e">
        <f>_xlfn.RANK.EQ(AM26,($C26,$G26,$K26,$O26,$S26,$W26,$AA26,$AE26,$AI26,$AM26),1)</f>
        <v>#N/A</v>
      </c>
      <c r="AO26" s="33" t="str">
        <f t="shared" si="9"/>
        <v/>
      </c>
      <c r="AP26" s="17" t="e">
        <f>_xlfn.RANK.EQ(AO26,($C26,$G26,$K26,$O26,$S26,$W26),1)</f>
        <v>#VALUE!</v>
      </c>
    </row>
    <row r="27" spans="1:42" x14ac:dyDescent="0.3">
      <c r="A27" s="77">
        <v>6</v>
      </c>
      <c r="B27" s="31" t="s">
        <v>61</v>
      </c>
      <c r="C27" s="33"/>
      <c r="D27" s="17" t="e">
        <f>_xlfn.RANK.EQ(C27,($C27,$G27,$K27,$O27,$S27,$W27,$AB27,$AF27,$AJ27,$AN27),1)</f>
        <v>#N/A</v>
      </c>
      <c r="E27" s="33" t="str">
        <f t="shared" si="2"/>
        <v/>
      </c>
      <c r="F27" s="17" t="e">
        <f>_xlfn.RANK.EQ(E27,($C27,$G27,$K27,$O27,$S27,$W27),1)</f>
        <v>#VALUE!</v>
      </c>
      <c r="G27" s="17"/>
      <c r="H27" s="17" t="e">
        <f>_xlfn.RANK.EQ(G27,($C27,$G27,$K27,$O27,$S27,$W27,$AA27,$AE27,$AI27,$AM27),1)</f>
        <v>#N/A</v>
      </c>
      <c r="I27" s="33" t="str">
        <f t="shared" si="4"/>
        <v/>
      </c>
      <c r="J27" s="17" t="e">
        <f>_xlfn.RANK.EQ(I27,($C27,$G27,$K27,$O27,$S27,$W27),1)</f>
        <v>#VALUE!</v>
      </c>
      <c r="K27" s="17"/>
      <c r="L27" s="17" t="e">
        <f>_xlfn.RANK.EQ(K27,($C27,$G27,$K27,$O27,$S27,$W27,$AA27,$AE27,$AI27,$AM27),1)</f>
        <v>#N/A</v>
      </c>
      <c r="M27" s="33" t="str">
        <f t="shared" si="5"/>
        <v/>
      </c>
      <c r="N27" s="17" t="e">
        <f>_xlfn.RANK.EQ(M27,($C27,$G27,$K27,$O27,$S27,$W27),1)</f>
        <v>#VALUE!</v>
      </c>
      <c r="O27" s="17"/>
      <c r="P27" s="17" t="e">
        <f>_xlfn.RANK.EQ(O27,($C27,$G27,$K27,$O27,$S27,$W27,$AA27,$AE27,$AI27,$AM27),1)</f>
        <v>#N/A</v>
      </c>
      <c r="Q27" s="33" t="str">
        <f t="shared" si="6"/>
        <v/>
      </c>
      <c r="R27" s="17" t="e">
        <f>_xlfn.RANK.EQ(Q27,($C27,$G27,$K27,$O27,$S27,$W27),1)</f>
        <v>#VALUE!</v>
      </c>
      <c r="S27" s="17"/>
      <c r="T27" s="17" t="e">
        <f>_xlfn.RANK.EQ(S27,($C27,$G27,$K27,$O27,$S27,$W27,$AA27,$AE27,$AI27,$AM27),0)</f>
        <v>#N/A</v>
      </c>
      <c r="U27" s="33" t="str">
        <f t="shared" si="0"/>
        <v/>
      </c>
      <c r="V27" s="17" t="e">
        <f>_xlfn.RANK.EQ(U27,($C27,$G27,$K27,$O27,$S27,$W27),1)</f>
        <v>#VALUE!</v>
      </c>
      <c r="W27" s="17"/>
      <c r="X27" s="17" t="e">
        <f>_xlfn.RANK.EQ(W27,($C27,$G27,$K27,$O27,$S27,$W27,$AA27,$AE27,$AI27,$AM27),1)</f>
        <v>#N/A</v>
      </c>
      <c r="Y27" s="33" t="str">
        <f t="shared" si="3"/>
        <v/>
      </c>
      <c r="Z27" s="17" t="e">
        <f>_xlfn.RANK.EQ(Y27,($C27,$G27,$K27,$O27,$S27,$W27),1)</f>
        <v>#VALUE!</v>
      </c>
      <c r="AA27" s="17"/>
      <c r="AB27" s="17" t="e">
        <f>_xlfn.RANK.EQ(AA27,($C27,$G27,$K27,$O27,$S27,$W27,$AA27,$AE27,$AI27,$AM27),1)</f>
        <v>#N/A</v>
      </c>
      <c r="AC27" s="33" t="str">
        <f t="shared" si="7"/>
        <v/>
      </c>
      <c r="AD27" s="17" t="e">
        <f>_xlfn.RANK.EQ(AC27,($C27,$G27,$K27,$O27,$S27,$W27),1)</f>
        <v>#VALUE!</v>
      </c>
      <c r="AE27" s="17"/>
      <c r="AF27" s="17" t="e">
        <f>_xlfn.RANK.EQ(AE27,($C27,$G27,$K27,$O27,$S27,$W27,$AA27,$AE27,$AI27,$AM27),1)</f>
        <v>#N/A</v>
      </c>
      <c r="AG27" s="33" t="str">
        <f t="shared" si="8"/>
        <v/>
      </c>
      <c r="AH27" s="17" t="e">
        <f>_xlfn.RANK.EQ(AG27,($C27,$G27,$K27,$O27,$S27,$W27),1)</f>
        <v>#VALUE!</v>
      </c>
      <c r="AI27" s="17"/>
      <c r="AJ27" s="17" t="e">
        <f>_xlfn.RANK.EQ(AI27,($C27,$G27,$K27,$O27,$S27,$W27,$AA27,$AE27,$AI27,$AM27),1)</f>
        <v>#N/A</v>
      </c>
      <c r="AK27" s="33" t="str">
        <f t="shared" si="1"/>
        <v/>
      </c>
      <c r="AL27" s="17" t="e">
        <f>_xlfn.RANK.EQ(AK27,($C27,$G27,$K27,$O27,$S27,$W27),1)</f>
        <v>#VALUE!</v>
      </c>
      <c r="AM27" s="17"/>
      <c r="AN27" s="17" t="e">
        <f>_xlfn.RANK.EQ(AM27,($C27,$G27,$K27,$O27,$S27,$W27,$AA27,$AE27,$AI27,$AM27),1)</f>
        <v>#N/A</v>
      </c>
      <c r="AO27" s="33" t="str">
        <f t="shared" si="9"/>
        <v/>
      </c>
      <c r="AP27" s="17" t="e">
        <f>_xlfn.RANK.EQ(AO27,($C27,$G27,$K27,$O27,$S27,$W27),1)</f>
        <v>#VALUE!</v>
      </c>
    </row>
    <row r="28" spans="1:42" x14ac:dyDescent="0.3">
      <c r="A28" s="77"/>
      <c r="B28" s="31" t="s">
        <v>62</v>
      </c>
      <c r="C28" s="33"/>
      <c r="D28" s="17" t="e">
        <f>_xlfn.RANK.EQ(C28,($C28,$G28,$K28,$O28,$S28,$W28,$AB28,$AF28,$AJ28,$AN28),1)</f>
        <v>#N/A</v>
      </c>
      <c r="E28" s="33" t="str">
        <f t="shared" si="2"/>
        <v/>
      </c>
      <c r="F28" s="17" t="e">
        <f>_xlfn.RANK.EQ(E28,($C28,$G28,$K28,$O28,$S28,$W28),1)</f>
        <v>#VALUE!</v>
      </c>
      <c r="G28" s="17"/>
      <c r="H28" s="17" t="e">
        <f>_xlfn.RANK.EQ(G28,($C28,$G28,$K28,$O28,$S28,$W28,$AA28,$AE28,$AI28,$AM28),1)</f>
        <v>#N/A</v>
      </c>
      <c r="I28" s="33" t="str">
        <f t="shared" si="4"/>
        <v/>
      </c>
      <c r="J28" s="17" t="e">
        <f>_xlfn.RANK.EQ(I28,($C28,$G28,$K28,$O28,$S28,$W28),1)</f>
        <v>#VALUE!</v>
      </c>
      <c r="K28" s="17"/>
      <c r="L28" s="17" t="e">
        <f>_xlfn.RANK.EQ(K28,($C28,$G28,$K28,$O28,$S28,$W28,$AA28,$AE28,$AI28,$AM28),1)</f>
        <v>#N/A</v>
      </c>
      <c r="M28" s="33" t="str">
        <f t="shared" si="5"/>
        <v/>
      </c>
      <c r="N28" s="17" t="e">
        <f>_xlfn.RANK.EQ(M28,($C28,$G28,$K28,$O28,$S28,$W28),1)</f>
        <v>#VALUE!</v>
      </c>
      <c r="O28" s="17"/>
      <c r="P28" s="17" t="e">
        <f>_xlfn.RANK.EQ(O28,($C28,$G28,$K28,$O28,$S28,$W28,$AA28,$AE28,$AI28,$AM28),1)</f>
        <v>#N/A</v>
      </c>
      <c r="Q28" s="33" t="str">
        <f t="shared" si="6"/>
        <v/>
      </c>
      <c r="R28" s="17" t="e">
        <f>_xlfn.RANK.EQ(Q28,($C28,$G28,$K28,$O28,$S28,$W28),1)</f>
        <v>#VALUE!</v>
      </c>
      <c r="S28" s="17"/>
      <c r="T28" s="17" t="e">
        <f>_xlfn.RANK.EQ(S28,($C28,$G28,$K28,$O28,$S28,$W28,$AA28,$AE28,$AI28,$AM28),0)</f>
        <v>#N/A</v>
      </c>
      <c r="U28" s="33" t="str">
        <f t="shared" si="0"/>
        <v/>
      </c>
      <c r="V28" s="17" t="e">
        <f>_xlfn.RANK.EQ(U28,($C28,$G28,$K28,$O28,$S28,$W28),1)</f>
        <v>#VALUE!</v>
      </c>
      <c r="W28" s="17"/>
      <c r="X28" s="17" t="e">
        <f>_xlfn.RANK.EQ(W28,($C28,$G28,$K28,$O28,$S28,$W28,$AA28,$AE28,$AI28,$AM28),1)</f>
        <v>#N/A</v>
      </c>
      <c r="Y28" s="33" t="str">
        <f t="shared" si="3"/>
        <v/>
      </c>
      <c r="Z28" s="17" t="e">
        <f>_xlfn.RANK.EQ(Y28,($C28,$G28,$K28,$O28,$S28,$W28),1)</f>
        <v>#VALUE!</v>
      </c>
      <c r="AA28" s="17"/>
      <c r="AB28" s="17" t="e">
        <f>_xlfn.RANK.EQ(AA28,($C28,$G28,$K28,$O28,$S28,$W28,$AA28,$AE28,$AI28,$AM28),1)</f>
        <v>#N/A</v>
      </c>
      <c r="AC28" s="33" t="str">
        <f t="shared" si="7"/>
        <v/>
      </c>
      <c r="AD28" s="17" t="e">
        <f>_xlfn.RANK.EQ(AC28,($C28,$G28,$K28,$O28,$S28,$W28),1)</f>
        <v>#VALUE!</v>
      </c>
      <c r="AE28" s="17"/>
      <c r="AF28" s="17" t="e">
        <f>_xlfn.RANK.EQ(AE28,($C28,$G28,$K28,$O28,$S28,$W28,$AA28,$AE28,$AI28,$AM28),1)</f>
        <v>#N/A</v>
      </c>
      <c r="AG28" s="33" t="str">
        <f t="shared" si="8"/>
        <v/>
      </c>
      <c r="AH28" s="17" t="e">
        <f>_xlfn.RANK.EQ(AG28,($C28,$G28,$K28,$O28,$S28,$W28),1)</f>
        <v>#VALUE!</v>
      </c>
      <c r="AI28" s="17"/>
      <c r="AJ28" s="17" t="e">
        <f>_xlfn.RANK.EQ(AI28,($C28,$G28,$K28,$O28,$S28,$W28,$AA28,$AE28,$AI28,$AM28),1)</f>
        <v>#N/A</v>
      </c>
      <c r="AK28" s="33" t="str">
        <f t="shared" si="1"/>
        <v/>
      </c>
      <c r="AL28" s="17" t="e">
        <f>_xlfn.RANK.EQ(AK28,($C28,$G28,$K28,$O28,$S28,$W28),1)</f>
        <v>#VALUE!</v>
      </c>
      <c r="AM28" s="17"/>
      <c r="AN28" s="17" t="e">
        <f>_xlfn.RANK.EQ(AM28,($C28,$G28,$K28,$O28,$S28,$W28,$AA28,$AE28,$AI28,$AM28),1)</f>
        <v>#N/A</v>
      </c>
      <c r="AO28" s="33" t="str">
        <f t="shared" si="9"/>
        <v/>
      </c>
      <c r="AP28" s="17" t="e">
        <f>_xlfn.RANK.EQ(AO28,($C28,$G28,$K28,$O28,$S28,$W28),1)</f>
        <v>#VALUE!</v>
      </c>
    </row>
    <row r="29" spans="1:42" x14ac:dyDescent="0.3">
      <c r="A29" s="77"/>
      <c r="B29" s="31" t="s">
        <v>63</v>
      </c>
      <c r="C29" s="33"/>
      <c r="D29" s="17" t="e">
        <f>_xlfn.RANK.EQ(C29,($C29,$G29,$K29,$O29,$S29,$W29,$AB29,$AF29,$AJ29,$AN29),1)</f>
        <v>#N/A</v>
      </c>
      <c r="E29" s="33" t="str">
        <f t="shared" si="2"/>
        <v/>
      </c>
      <c r="F29" s="17" t="e">
        <f>_xlfn.RANK.EQ(E29,($C29,$G29,$K29,$O29,$S29,$W29),1)</f>
        <v>#VALUE!</v>
      </c>
      <c r="G29" s="17"/>
      <c r="H29" s="17" t="e">
        <f>_xlfn.RANK.EQ(G29,($C29,$G29,$K29,$O29,$S29,$W29,$AA29,$AE29,$AI29,$AM29),1)</f>
        <v>#N/A</v>
      </c>
      <c r="I29" s="33" t="str">
        <f t="shared" si="4"/>
        <v/>
      </c>
      <c r="J29" s="17" t="e">
        <f>_xlfn.RANK.EQ(I29,($C29,$G29,$K29,$O29,$S29,$W29),1)</f>
        <v>#VALUE!</v>
      </c>
      <c r="K29" s="17"/>
      <c r="L29" s="17" t="e">
        <f>_xlfn.RANK.EQ(K29,($C29,$G29,$K29,$O29,$S29,$W29,$AA29,$AE29,$AI29,$AM29),1)</f>
        <v>#N/A</v>
      </c>
      <c r="M29" s="33" t="str">
        <f t="shared" si="5"/>
        <v/>
      </c>
      <c r="N29" s="17" t="e">
        <f>_xlfn.RANK.EQ(M29,($C29,$G29,$K29,$O29,$S29,$W29),1)</f>
        <v>#VALUE!</v>
      </c>
      <c r="O29" s="17"/>
      <c r="P29" s="17" t="e">
        <f>_xlfn.RANK.EQ(O29,($C29,$G29,$K29,$O29,$S29,$W29,$AA29,$AE29,$AI29,$AM29),1)</f>
        <v>#N/A</v>
      </c>
      <c r="Q29" s="33" t="str">
        <f t="shared" si="6"/>
        <v/>
      </c>
      <c r="R29" s="17" t="e">
        <f>_xlfn.RANK.EQ(Q29,($C29,$G29,$K29,$O29,$S29,$W29),1)</f>
        <v>#VALUE!</v>
      </c>
      <c r="S29" s="17"/>
      <c r="T29" s="17" t="e">
        <f>_xlfn.RANK.EQ(S29,($C29,$G29,$K29,$O29,$S29,$W29,$AA29,$AE29,$AI29,$AM29),0)</f>
        <v>#N/A</v>
      </c>
      <c r="U29" s="33" t="str">
        <f t="shared" si="0"/>
        <v/>
      </c>
      <c r="V29" s="17" t="e">
        <f>_xlfn.RANK.EQ(U29,($C29,$G29,$K29,$O29,$S29,$W29),1)</f>
        <v>#VALUE!</v>
      </c>
      <c r="W29" s="17"/>
      <c r="X29" s="17" t="e">
        <f>_xlfn.RANK.EQ(W29,($C29,$G29,$K29,$O29,$S29,$W29,$AA29,$AE29,$AI29,$AM29),1)</f>
        <v>#N/A</v>
      </c>
      <c r="Y29" s="33" t="str">
        <f t="shared" si="3"/>
        <v/>
      </c>
      <c r="Z29" s="17" t="e">
        <f>_xlfn.RANK.EQ(Y29,($C29,$G29,$K29,$O29,$S29,$W29),1)</f>
        <v>#VALUE!</v>
      </c>
      <c r="AA29" s="17"/>
      <c r="AB29" s="17" t="e">
        <f>_xlfn.RANK.EQ(AA29,($C29,$G29,$K29,$O29,$S29,$W29,$AA29,$AE29,$AI29,$AM29),1)</f>
        <v>#N/A</v>
      </c>
      <c r="AC29" s="33" t="str">
        <f t="shared" si="7"/>
        <v/>
      </c>
      <c r="AD29" s="17" t="e">
        <f>_xlfn.RANK.EQ(AC29,($C29,$G29,$K29,$O29,$S29,$W29),1)</f>
        <v>#VALUE!</v>
      </c>
      <c r="AE29" s="17"/>
      <c r="AF29" s="17" t="e">
        <f>_xlfn.RANK.EQ(AE29,($C29,$G29,$K29,$O29,$S29,$W29,$AA29,$AE29,$AI29,$AM29),1)</f>
        <v>#N/A</v>
      </c>
      <c r="AG29" s="33" t="str">
        <f t="shared" si="8"/>
        <v/>
      </c>
      <c r="AH29" s="17" t="e">
        <f>_xlfn.RANK.EQ(AG29,($C29,$G29,$K29,$O29,$S29,$W29),1)</f>
        <v>#VALUE!</v>
      </c>
      <c r="AI29" s="17"/>
      <c r="AJ29" s="17" t="e">
        <f>_xlfn.RANK.EQ(AI29,($C29,$G29,$K29,$O29,$S29,$W29,$AA29,$AE29,$AI29,$AM29),1)</f>
        <v>#N/A</v>
      </c>
      <c r="AK29" s="33" t="str">
        <f t="shared" si="1"/>
        <v/>
      </c>
      <c r="AL29" s="17" t="e">
        <f>_xlfn.RANK.EQ(AK29,($C29,$G29,$K29,$O29,$S29,$W29),1)</f>
        <v>#VALUE!</v>
      </c>
      <c r="AM29" s="17"/>
      <c r="AN29" s="17" t="e">
        <f>_xlfn.RANK.EQ(AM29,($C29,$G29,$K29,$O29,$S29,$W29,$AA29,$AE29,$AI29,$AM29),1)</f>
        <v>#N/A</v>
      </c>
      <c r="AO29" s="33" t="str">
        <f t="shared" si="9"/>
        <v/>
      </c>
      <c r="AP29" s="17" t="e">
        <f>_xlfn.RANK.EQ(AO29,($C29,$G29,$K29,$O29,$S29,$W29),1)</f>
        <v>#VALUE!</v>
      </c>
    </row>
    <row r="30" spans="1:42" x14ac:dyDescent="0.3">
      <c r="A30" s="77">
        <v>7</v>
      </c>
      <c r="B30" s="31" t="s">
        <v>61</v>
      </c>
      <c r="C30" s="33"/>
      <c r="D30" s="17" t="e">
        <f>_xlfn.RANK.EQ(C30,($C30,$G30,$K30,$O30,$S30,$W30,$AB30,$AF30,$AJ30,$AN30),1)</f>
        <v>#N/A</v>
      </c>
      <c r="E30" s="33" t="str">
        <f t="shared" si="2"/>
        <v/>
      </c>
      <c r="F30" s="17" t="e">
        <f>_xlfn.RANK.EQ(E30,($C30,$G30,$K30,$O30,$S30,$W30),1)</f>
        <v>#VALUE!</v>
      </c>
      <c r="G30" s="17"/>
      <c r="H30" s="17" t="e">
        <f>_xlfn.RANK.EQ(G30,($C30,$G30,$K30,$O30,$S30,$W30,$AA30,$AE30,$AI30,$AM30),1)</f>
        <v>#N/A</v>
      </c>
      <c r="I30" s="33" t="str">
        <f t="shared" si="4"/>
        <v/>
      </c>
      <c r="J30" s="17" t="e">
        <f>_xlfn.RANK.EQ(I30,($C30,$G30,$K30,$O30,$S30,$W30),1)</f>
        <v>#VALUE!</v>
      </c>
      <c r="K30" s="17"/>
      <c r="L30" s="17" t="e">
        <f>_xlfn.RANK.EQ(K30,($C30,$G30,$K30,$O30,$S30,$W30,$AA30,$AE30,$AI30,$AM30),1)</f>
        <v>#N/A</v>
      </c>
      <c r="M30" s="33" t="str">
        <f t="shared" si="5"/>
        <v/>
      </c>
      <c r="N30" s="17" t="e">
        <f>_xlfn.RANK.EQ(M30,($C30,$G30,$K30,$O30,$S30,$W30),1)</f>
        <v>#VALUE!</v>
      </c>
      <c r="O30" s="17"/>
      <c r="P30" s="17" t="e">
        <f>_xlfn.RANK.EQ(O30,($C30,$G30,$K30,$O30,$S30,$W30,$AA30,$AE30,$AI30,$AM30),1)</f>
        <v>#N/A</v>
      </c>
      <c r="Q30" s="33" t="str">
        <f t="shared" si="6"/>
        <v/>
      </c>
      <c r="R30" s="17" t="e">
        <f>_xlfn.RANK.EQ(Q30,($C30,$G30,$K30,$O30,$S30,$W30),1)</f>
        <v>#VALUE!</v>
      </c>
      <c r="S30" s="17"/>
      <c r="T30" s="17" t="e">
        <f>_xlfn.RANK.EQ(S30,($C30,$G30,$K30,$O30,$S30,$W30,$AA30,$AE30,$AI30,$AM30),0)</f>
        <v>#N/A</v>
      </c>
      <c r="U30" s="33" t="str">
        <f t="shared" si="0"/>
        <v/>
      </c>
      <c r="V30" s="17" t="e">
        <f>_xlfn.RANK.EQ(U30,($C30,$G30,$K30,$O30,$S30,$W30),1)</f>
        <v>#VALUE!</v>
      </c>
      <c r="W30" s="17"/>
      <c r="X30" s="17" t="e">
        <f>_xlfn.RANK.EQ(W30,($C30,$G30,$K30,$O30,$S30,$W30,$AA30,$AE30,$AI30,$AM30),1)</f>
        <v>#N/A</v>
      </c>
      <c r="Y30" s="33" t="str">
        <f t="shared" si="3"/>
        <v/>
      </c>
      <c r="Z30" s="17" t="e">
        <f>_xlfn.RANK.EQ(Y30,($C30,$G30,$K30,$O30,$S30,$W30),1)</f>
        <v>#VALUE!</v>
      </c>
      <c r="AA30" s="17"/>
      <c r="AB30" s="17" t="e">
        <f>_xlfn.RANK.EQ(AA30,($C30,$G30,$K30,$O30,$S30,$W30,$AA30,$AE30,$AI30,$AM30),1)</f>
        <v>#N/A</v>
      </c>
      <c r="AC30" s="33" t="str">
        <f t="shared" si="7"/>
        <v/>
      </c>
      <c r="AD30" s="17" t="e">
        <f>_xlfn.RANK.EQ(AC30,($C30,$G30,$K30,$O30,$S30,$W30),1)</f>
        <v>#VALUE!</v>
      </c>
      <c r="AE30" s="17"/>
      <c r="AF30" s="17" t="e">
        <f>_xlfn.RANK.EQ(AE30,($C30,$G30,$K30,$O30,$S30,$W30,$AA30,$AE30,$AI30,$AM30),1)</f>
        <v>#N/A</v>
      </c>
      <c r="AG30" s="33" t="str">
        <f t="shared" si="8"/>
        <v/>
      </c>
      <c r="AH30" s="17" t="e">
        <f>_xlfn.RANK.EQ(AG30,($C30,$G30,$K30,$O30,$S30,$W30),1)</f>
        <v>#VALUE!</v>
      </c>
      <c r="AI30" s="17"/>
      <c r="AJ30" s="17" t="e">
        <f>_xlfn.RANK.EQ(AI30,($C30,$G30,$K30,$O30,$S30,$W30,$AA30,$AE30,$AI30,$AM30),1)</f>
        <v>#N/A</v>
      </c>
      <c r="AK30" s="33" t="str">
        <f t="shared" si="1"/>
        <v/>
      </c>
      <c r="AL30" s="17" t="e">
        <f>_xlfn.RANK.EQ(AK30,($C30,$G30,$K30,$O30,$S30,$W30),1)</f>
        <v>#VALUE!</v>
      </c>
      <c r="AM30" s="17"/>
      <c r="AN30" s="17" t="e">
        <f>_xlfn.RANK.EQ(AM30,($C30,$G30,$K30,$O30,$S30,$W30,$AA30,$AE30,$AI30,$AM30),1)</f>
        <v>#N/A</v>
      </c>
      <c r="AO30" s="33" t="str">
        <f t="shared" si="9"/>
        <v/>
      </c>
      <c r="AP30" s="17" t="e">
        <f>_xlfn.RANK.EQ(AO30,($C30,$G30,$K30,$O30,$S30,$W30),1)</f>
        <v>#VALUE!</v>
      </c>
    </row>
    <row r="31" spans="1:42" x14ac:dyDescent="0.3">
      <c r="A31" s="77"/>
      <c r="B31" s="31" t="s">
        <v>62</v>
      </c>
      <c r="C31" s="33"/>
      <c r="D31" s="17" t="e">
        <f>_xlfn.RANK.EQ(C31,($C31,$G31,$K31,$O31,$S31,$W31,$AB31,$AF31,$AJ31,$AN31),1)</f>
        <v>#N/A</v>
      </c>
      <c r="E31" s="33" t="str">
        <f t="shared" si="2"/>
        <v/>
      </c>
      <c r="F31" s="17" t="e">
        <f>_xlfn.RANK.EQ(E31,($C31,$G31,$K31,$O31,$S31,$W31),1)</f>
        <v>#VALUE!</v>
      </c>
      <c r="G31" s="17"/>
      <c r="H31" s="17" t="e">
        <f>_xlfn.RANK.EQ(G31,($C31,$G31,$K31,$O31,$S31,$W31,$AA31,$AE31,$AI31,$AM31),1)</f>
        <v>#N/A</v>
      </c>
      <c r="I31" s="33" t="str">
        <f t="shared" si="4"/>
        <v/>
      </c>
      <c r="J31" s="17" t="e">
        <f>_xlfn.RANK.EQ(I31,($C31,$G31,$K31,$O31,$S31,$W31),1)</f>
        <v>#VALUE!</v>
      </c>
      <c r="K31" s="17"/>
      <c r="L31" s="17" t="e">
        <f>_xlfn.RANK.EQ(K31,($C31,$G31,$K31,$O31,$S31,$W31,$AA31,$AE31,$AI31,$AM31),1)</f>
        <v>#N/A</v>
      </c>
      <c r="M31" s="33" t="str">
        <f t="shared" si="5"/>
        <v/>
      </c>
      <c r="N31" s="17" t="e">
        <f>_xlfn.RANK.EQ(M31,($C31,$G31,$K31,$O31,$S31,$W31),1)</f>
        <v>#VALUE!</v>
      </c>
      <c r="O31" s="17"/>
      <c r="P31" s="17" t="e">
        <f>_xlfn.RANK.EQ(O31,($C31,$G31,$K31,$O31,$S31,$W31,$AA31,$AE31,$AI31,$AM31),1)</f>
        <v>#N/A</v>
      </c>
      <c r="Q31" s="33" t="str">
        <f t="shared" si="6"/>
        <v/>
      </c>
      <c r="R31" s="17" t="e">
        <f>_xlfn.RANK.EQ(Q31,($C31,$G31,$K31,$O31,$S31,$W31),1)</f>
        <v>#VALUE!</v>
      </c>
      <c r="S31" s="17"/>
      <c r="T31" s="17" t="e">
        <f>_xlfn.RANK.EQ(S31,($C31,$G31,$K31,$O31,$S31,$W31,$AA31,$AE31,$AI31,$AM31),0)</f>
        <v>#N/A</v>
      </c>
      <c r="U31" s="33" t="str">
        <f t="shared" si="0"/>
        <v/>
      </c>
      <c r="V31" s="17" t="e">
        <f>_xlfn.RANK.EQ(U31,($C31,$G31,$K31,$O31,$S31,$W31),1)</f>
        <v>#VALUE!</v>
      </c>
      <c r="W31" s="17"/>
      <c r="X31" s="17" t="e">
        <f>_xlfn.RANK.EQ(W31,($C31,$G31,$K31,$O31,$S31,$W31,$AA31,$AE31,$AI31,$AM31),1)</f>
        <v>#N/A</v>
      </c>
      <c r="Y31" s="33" t="str">
        <f t="shared" si="3"/>
        <v/>
      </c>
      <c r="Z31" s="17" t="e">
        <f>_xlfn.RANK.EQ(Y31,($C31,$G31,$K31,$O31,$S31,$W31),1)</f>
        <v>#VALUE!</v>
      </c>
      <c r="AA31" s="17"/>
      <c r="AB31" s="17" t="e">
        <f>_xlfn.RANK.EQ(AA31,($C31,$G31,$K31,$O31,$S31,$W31,$AA31,$AE31,$AI31,$AM31),1)</f>
        <v>#N/A</v>
      </c>
      <c r="AC31" s="33" t="str">
        <f t="shared" si="7"/>
        <v/>
      </c>
      <c r="AD31" s="17" t="e">
        <f>_xlfn.RANK.EQ(AC31,($C31,$G31,$K31,$O31,$S31,$W31),1)</f>
        <v>#VALUE!</v>
      </c>
      <c r="AE31" s="17"/>
      <c r="AF31" s="17" t="e">
        <f>_xlfn.RANK.EQ(AE31,($C31,$G31,$K31,$O31,$S31,$W31,$AA31,$AE31,$AI31,$AM31),1)</f>
        <v>#N/A</v>
      </c>
      <c r="AG31" s="33" t="str">
        <f t="shared" si="8"/>
        <v/>
      </c>
      <c r="AH31" s="17" t="e">
        <f>_xlfn.RANK.EQ(AG31,($C31,$G31,$K31,$O31,$S31,$W31),1)</f>
        <v>#VALUE!</v>
      </c>
      <c r="AI31" s="17"/>
      <c r="AJ31" s="17" t="e">
        <f>_xlfn.RANK.EQ(AI31,($C31,$G31,$K31,$O31,$S31,$W31,$AA31,$AE31,$AI31,$AM31),1)</f>
        <v>#N/A</v>
      </c>
      <c r="AK31" s="33" t="str">
        <f t="shared" si="1"/>
        <v/>
      </c>
      <c r="AL31" s="17" t="e">
        <f>_xlfn.RANK.EQ(AK31,($C31,$G31,$K31,$O31,$S31,$W31),1)</f>
        <v>#VALUE!</v>
      </c>
      <c r="AM31" s="17"/>
      <c r="AN31" s="17" t="e">
        <f>_xlfn.RANK.EQ(AM31,($C31,$G31,$K31,$O31,$S31,$W31,$AA31,$AE31,$AI31,$AM31),1)</f>
        <v>#N/A</v>
      </c>
      <c r="AO31" s="33" t="str">
        <f t="shared" si="9"/>
        <v/>
      </c>
      <c r="AP31" s="17" t="e">
        <f>_xlfn.RANK.EQ(AO31,($C31,$G31,$K31,$O31,$S31,$W31),1)</f>
        <v>#VALUE!</v>
      </c>
    </row>
    <row r="32" spans="1:42" x14ac:dyDescent="0.3">
      <c r="A32" s="77"/>
      <c r="B32" s="31" t="s">
        <v>63</v>
      </c>
      <c r="C32" s="33"/>
      <c r="D32" s="17" t="e">
        <f>_xlfn.RANK.EQ(C32,($C32,$G32,$K32,$O32,$S32,$W32,$AB32,$AF32,$AJ32,$AN32),1)</f>
        <v>#N/A</v>
      </c>
      <c r="E32" s="33" t="str">
        <f t="shared" si="2"/>
        <v/>
      </c>
      <c r="F32" s="17" t="e">
        <f>_xlfn.RANK.EQ(E32,($C32,$G32,$K32,$O32,$S32,$W32),1)</f>
        <v>#VALUE!</v>
      </c>
      <c r="G32" s="17"/>
      <c r="H32" s="17" t="e">
        <f>_xlfn.RANK.EQ(G32,($C32,$G32,$K32,$O32,$S32,$W32,$AA32,$AE32,$AI32,$AM32),1)</f>
        <v>#N/A</v>
      </c>
      <c r="I32" s="33" t="str">
        <f t="shared" si="4"/>
        <v/>
      </c>
      <c r="J32" s="17" t="e">
        <f>_xlfn.RANK.EQ(I32,($C32,$G32,$K32,$O32,$S32,$W32),1)</f>
        <v>#VALUE!</v>
      </c>
      <c r="K32" s="17"/>
      <c r="L32" s="17" t="e">
        <f>_xlfn.RANK.EQ(K32,($C32,$G32,$K32,$O32,$S32,$W32,$AA32,$AE32,$AI32,$AM32),1)</f>
        <v>#N/A</v>
      </c>
      <c r="M32" s="33" t="str">
        <f t="shared" si="5"/>
        <v/>
      </c>
      <c r="N32" s="17" t="e">
        <f>_xlfn.RANK.EQ(M32,($C32,$G32,$K32,$O32,$S32,$W32),1)</f>
        <v>#VALUE!</v>
      </c>
      <c r="O32" s="17"/>
      <c r="P32" s="17" t="e">
        <f>_xlfn.RANK.EQ(O32,($C32,$G32,$K32,$O32,$S32,$W32,$AA32,$AE32,$AI32,$AM32),1)</f>
        <v>#N/A</v>
      </c>
      <c r="Q32" s="33" t="str">
        <f t="shared" si="6"/>
        <v/>
      </c>
      <c r="R32" s="17" t="e">
        <f>_xlfn.RANK.EQ(Q32,($C32,$G32,$K32,$O32,$S32,$W32),1)</f>
        <v>#VALUE!</v>
      </c>
      <c r="S32" s="17"/>
      <c r="T32" s="17" t="e">
        <f>_xlfn.RANK.EQ(S32,($C32,$G32,$K32,$O32,$S32,$W32,$AA32,$AE32,$AI32,$AM32),0)</f>
        <v>#N/A</v>
      </c>
      <c r="U32" s="33" t="str">
        <f t="shared" si="0"/>
        <v/>
      </c>
      <c r="V32" s="17" t="e">
        <f>_xlfn.RANK.EQ(U32,($C32,$G32,$K32,$O32,$S32,$W32),1)</f>
        <v>#VALUE!</v>
      </c>
      <c r="W32" s="17"/>
      <c r="X32" s="17" t="e">
        <f>_xlfn.RANK.EQ(W32,($C32,$G32,$K32,$O32,$S32,$W32,$AA32,$AE32,$AI32,$AM32),1)</f>
        <v>#N/A</v>
      </c>
      <c r="Y32" s="33" t="str">
        <f t="shared" si="3"/>
        <v/>
      </c>
      <c r="Z32" s="17" t="e">
        <f>_xlfn.RANK.EQ(Y32,($C32,$G32,$K32,$O32,$S32,$W32),1)</f>
        <v>#VALUE!</v>
      </c>
      <c r="AA32" s="17"/>
      <c r="AB32" s="17" t="e">
        <f>_xlfn.RANK.EQ(AA32,($C32,$G32,$K32,$O32,$S32,$W32,$AA32,$AE32,$AI32,$AM32),1)</f>
        <v>#N/A</v>
      </c>
      <c r="AC32" s="33" t="str">
        <f t="shared" si="7"/>
        <v/>
      </c>
      <c r="AD32" s="17" t="e">
        <f>_xlfn.RANK.EQ(AC32,($C32,$G32,$K32,$O32,$S32,$W32),1)</f>
        <v>#VALUE!</v>
      </c>
      <c r="AE32" s="17"/>
      <c r="AF32" s="17" t="e">
        <f>_xlfn.RANK.EQ(AE32,($C32,$G32,$K32,$O32,$S32,$W32,$AA32,$AE32,$AI32,$AM32),1)</f>
        <v>#N/A</v>
      </c>
      <c r="AG32" s="33" t="str">
        <f t="shared" si="8"/>
        <v/>
      </c>
      <c r="AH32" s="17" t="e">
        <f>_xlfn.RANK.EQ(AG32,($C32,$G32,$K32,$O32,$S32,$W32),1)</f>
        <v>#VALUE!</v>
      </c>
      <c r="AI32" s="17"/>
      <c r="AJ32" s="17" t="e">
        <f>_xlfn.RANK.EQ(AI32,($C32,$G32,$K32,$O32,$S32,$W32,$AA32,$AE32,$AI32,$AM32),1)</f>
        <v>#N/A</v>
      </c>
      <c r="AK32" s="33" t="str">
        <f t="shared" si="1"/>
        <v/>
      </c>
      <c r="AL32" s="17" t="e">
        <f>_xlfn.RANK.EQ(AK32,($C32,$G32,$K32,$O32,$S32,$W32),1)</f>
        <v>#VALUE!</v>
      </c>
      <c r="AM32" s="17"/>
      <c r="AN32" s="17" t="e">
        <f>_xlfn.RANK.EQ(AM32,($C32,$G32,$K32,$O32,$S32,$W32,$AA32,$AE32,$AI32,$AM32),1)</f>
        <v>#N/A</v>
      </c>
      <c r="AO32" s="33" t="str">
        <f t="shared" si="9"/>
        <v/>
      </c>
      <c r="AP32" s="17" t="e">
        <f>_xlfn.RANK.EQ(AO32,($C32,$G32,$K32,$O32,$S32,$W32),1)</f>
        <v>#VALUE!</v>
      </c>
    </row>
    <row r="33" spans="1:42" x14ac:dyDescent="0.3">
      <c r="A33" s="77">
        <v>8</v>
      </c>
      <c r="B33" s="31" t="s">
        <v>61</v>
      </c>
      <c r="C33" s="33"/>
      <c r="D33" s="17" t="e">
        <f>_xlfn.RANK.EQ(C33,($C33,$G33,$K33,$O33,$S33,$W33,$AB33,$AF33,$AJ33,$AN33),1)</f>
        <v>#N/A</v>
      </c>
      <c r="E33" s="33" t="str">
        <f t="shared" si="2"/>
        <v/>
      </c>
      <c r="F33" s="17" t="e">
        <f>_xlfn.RANK.EQ(E33,($C33,$G33,$K33,$O33,$S33,$W33),1)</f>
        <v>#VALUE!</v>
      </c>
      <c r="G33" s="17"/>
      <c r="H33" s="17" t="e">
        <f>_xlfn.RANK.EQ(G33,($C33,$G33,$K33,$O33,$S33,$W33,$AA33,$AE33,$AI33,$AM33),1)</f>
        <v>#N/A</v>
      </c>
      <c r="I33" s="33" t="str">
        <f t="shared" si="4"/>
        <v/>
      </c>
      <c r="J33" s="17" t="e">
        <f>_xlfn.RANK.EQ(I33,($C33,$G33,$K33,$O33,$S33,$W33),1)</f>
        <v>#VALUE!</v>
      </c>
      <c r="K33" s="17"/>
      <c r="L33" s="17" t="e">
        <f>_xlfn.RANK.EQ(K33,($C33,$G33,$K33,$O33,$S33,$W33,$AA33,$AE33,$AI33,$AM33),1)</f>
        <v>#N/A</v>
      </c>
      <c r="M33" s="33" t="str">
        <f t="shared" si="5"/>
        <v/>
      </c>
      <c r="N33" s="17" t="e">
        <f>_xlfn.RANK.EQ(M33,($C33,$G33,$K33,$O33,$S33,$W33),1)</f>
        <v>#VALUE!</v>
      </c>
      <c r="O33" s="17"/>
      <c r="P33" s="17" t="e">
        <f>_xlfn.RANK.EQ(O33,($C33,$G33,$K33,$O33,$S33,$W33,$AA33,$AE33,$AI33,$AM33),1)</f>
        <v>#N/A</v>
      </c>
      <c r="Q33" s="33" t="str">
        <f t="shared" si="6"/>
        <v/>
      </c>
      <c r="R33" s="17" t="e">
        <f>_xlfn.RANK.EQ(Q33,($C33,$G33,$K33,$O33,$S33,$W33),1)</f>
        <v>#VALUE!</v>
      </c>
      <c r="S33" s="17"/>
      <c r="T33" s="17" t="e">
        <f>_xlfn.RANK.EQ(S33,($C33,$G33,$K33,$O33,$S33,$W33,$AA33,$AE33,$AI33,$AM33),0)</f>
        <v>#N/A</v>
      </c>
      <c r="U33" s="33" t="str">
        <f t="shared" si="0"/>
        <v/>
      </c>
      <c r="V33" s="17" t="e">
        <f>_xlfn.RANK.EQ(U33,($C33,$G33,$K33,$O33,$S33,$W33),1)</f>
        <v>#VALUE!</v>
      </c>
      <c r="W33" s="17"/>
      <c r="X33" s="17" t="e">
        <f>_xlfn.RANK.EQ(W33,($C33,$G33,$K33,$O33,$S33,$W33,$AA33,$AE33,$AI33,$AM33),1)</f>
        <v>#N/A</v>
      </c>
      <c r="Y33" s="33" t="str">
        <f t="shared" si="3"/>
        <v/>
      </c>
      <c r="Z33" s="17" t="e">
        <f>_xlfn.RANK.EQ(Y33,($C33,$G33,$K33,$O33,$S33,$W33),1)</f>
        <v>#VALUE!</v>
      </c>
      <c r="AA33" s="17"/>
      <c r="AB33" s="17" t="e">
        <f>_xlfn.RANK.EQ(AA33,($C33,$G33,$K33,$O33,$S33,$W33,$AA33,$AE33,$AI33,$AM33),1)</f>
        <v>#N/A</v>
      </c>
      <c r="AC33" s="33" t="str">
        <f t="shared" si="7"/>
        <v/>
      </c>
      <c r="AD33" s="17" t="e">
        <f>_xlfn.RANK.EQ(AC33,($C33,$G33,$K33,$O33,$S33,$W33),1)</f>
        <v>#VALUE!</v>
      </c>
      <c r="AE33" s="17"/>
      <c r="AF33" s="17" t="e">
        <f>_xlfn.RANK.EQ(AE33,($C33,$G33,$K33,$O33,$S33,$W33,$AA33,$AE33,$AI33,$AM33),1)</f>
        <v>#N/A</v>
      </c>
      <c r="AG33" s="33" t="str">
        <f t="shared" si="8"/>
        <v/>
      </c>
      <c r="AH33" s="17" t="e">
        <f>_xlfn.RANK.EQ(AG33,($C33,$G33,$K33,$O33,$S33,$W33),1)</f>
        <v>#VALUE!</v>
      </c>
      <c r="AI33" s="17"/>
      <c r="AJ33" s="17" t="e">
        <f>_xlfn.RANK.EQ(AI33,($C33,$G33,$K33,$O33,$S33,$W33,$AA33,$AE33,$AI33,$AM33),1)</f>
        <v>#N/A</v>
      </c>
      <c r="AK33" s="33" t="str">
        <f t="shared" si="1"/>
        <v/>
      </c>
      <c r="AL33" s="17" t="e">
        <f>_xlfn.RANK.EQ(AK33,($C33,$G33,$K33,$O33,$S33,$W33),1)</f>
        <v>#VALUE!</v>
      </c>
      <c r="AM33" s="17"/>
      <c r="AN33" s="17" t="e">
        <f>_xlfn.RANK.EQ(AM33,($C33,$G33,$K33,$O33,$S33,$W33,$AA33,$AE33,$AI33,$AM33),1)</f>
        <v>#N/A</v>
      </c>
      <c r="AO33" s="33" t="str">
        <f t="shared" si="9"/>
        <v/>
      </c>
      <c r="AP33" s="17" t="e">
        <f>_xlfn.RANK.EQ(AO33,($C33,$G33,$K33,$O33,$S33,$W33),1)</f>
        <v>#VALUE!</v>
      </c>
    </row>
    <row r="34" spans="1:42" x14ac:dyDescent="0.3">
      <c r="A34" s="77"/>
      <c r="B34" s="31" t="s">
        <v>62</v>
      </c>
      <c r="C34" s="33"/>
      <c r="D34" s="17" t="e">
        <f>_xlfn.RANK.EQ(C34,($C34,$G34,$K34,$O34,$S34,$W34,$AB34,$AF34,$AJ34,$AN34),1)</f>
        <v>#N/A</v>
      </c>
      <c r="E34" s="33" t="str">
        <f t="shared" si="2"/>
        <v/>
      </c>
      <c r="F34" s="17" t="e">
        <f>_xlfn.RANK.EQ(E34,($C34,$G34,$K34,$O34,$S34,$W34),1)</f>
        <v>#VALUE!</v>
      </c>
      <c r="G34" s="17"/>
      <c r="H34" s="17" t="e">
        <f>_xlfn.RANK.EQ(G34,($C34,$G34,$K34,$O34,$S34,$W34,$AA34,$AE34,$AI34,$AM34),1)</f>
        <v>#N/A</v>
      </c>
      <c r="I34" s="33" t="str">
        <f t="shared" si="4"/>
        <v/>
      </c>
      <c r="J34" s="17" t="e">
        <f>_xlfn.RANK.EQ(I34,($C34,$G34,$K34,$O34,$S34,$W34),1)</f>
        <v>#VALUE!</v>
      </c>
      <c r="K34" s="17"/>
      <c r="L34" s="17" t="e">
        <f>_xlfn.RANK.EQ(K34,($C34,$G34,$K34,$O34,$S34,$W34,$AA34,$AE34,$AI34,$AM34),1)</f>
        <v>#N/A</v>
      </c>
      <c r="M34" s="33" t="str">
        <f t="shared" si="5"/>
        <v/>
      </c>
      <c r="N34" s="17" t="e">
        <f>_xlfn.RANK.EQ(M34,($C34,$G34,$K34,$O34,$S34,$W34),1)</f>
        <v>#VALUE!</v>
      </c>
      <c r="O34" s="17"/>
      <c r="P34" s="17" t="e">
        <f>_xlfn.RANK.EQ(O34,($C34,$G34,$K34,$O34,$S34,$W34,$AA34,$AE34,$AI34,$AM34),1)</f>
        <v>#N/A</v>
      </c>
      <c r="Q34" s="33" t="str">
        <f t="shared" si="6"/>
        <v/>
      </c>
      <c r="R34" s="17" t="e">
        <f>_xlfn.RANK.EQ(Q34,($C34,$G34,$K34,$O34,$S34,$W34),1)</f>
        <v>#VALUE!</v>
      </c>
      <c r="S34" s="17"/>
      <c r="T34" s="17" t="e">
        <f>_xlfn.RANK.EQ(S34,($C34,$G34,$K34,$O34,$S34,$W34,$AA34,$AE34,$AI34,$AM34),0)</f>
        <v>#N/A</v>
      </c>
      <c r="U34" s="33" t="str">
        <f t="shared" si="0"/>
        <v/>
      </c>
      <c r="V34" s="17" t="e">
        <f>_xlfn.RANK.EQ(U34,($C34,$G34,$K34,$O34,$S34,$W34),1)</f>
        <v>#VALUE!</v>
      </c>
      <c r="W34" s="17"/>
      <c r="X34" s="17" t="e">
        <f>_xlfn.RANK.EQ(W34,($C34,$G34,$K34,$O34,$S34,$W34,$AA34,$AE34,$AI34,$AM34),1)</f>
        <v>#N/A</v>
      </c>
      <c r="Y34" s="33" t="str">
        <f t="shared" si="3"/>
        <v/>
      </c>
      <c r="Z34" s="17" t="e">
        <f>_xlfn.RANK.EQ(Y34,($C34,$G34,$K34,$O34,$S34,$W34),1)</f>
        <v>#VALUE!</v>
      </c>
      <c r="AA34" s="17"/>
      <c r="AB34" s="17" t="e">
        <f>_xlfn.RANK.EQ(AA34,($C34,$G34,$K34,$O34,$S34,$W34,$AA34,$AE34,$AI34,$AM34),1)</f>
        <v>#N/A</v>
      </c>
      <c r="AC34" s="33" t="str">
        <f t="shared" si="7"/>
        <v/>
      </c>
      <c r="AD34" s="17" t="e">
        <f>_xlfn.RANK.EQ(AC34,($C34,$G34,$K34,$O34,$S34,$W34),1)</f>
        <v>#VALUE!</v>
      </c>
      <c r="AE34" s="17"/>
      <c r="AF34" s="17" t="e">
        <f>_xlfn.RANK.EQ(AE34,($C34,$G34,$K34,$O34,$S34,$W34,$AA34,$AE34,$AI34,$AM34),1)</f>
        <v>#N/A</v>
      </c>
      <c r="AG34" s="33" t="str">
        <f t="shared" si="8"/>
        <v/>
      </c>
      <c r="AH34" s="17" t="e">
        <f>_xlfn.RANK.EQ(AG34,($C34,$G34,$K34,$O34,$S34,$W34),1)</f>
        <v>#VALUE!</v>
      </c>
      <c r="AI34" s="17"/>
      <c r="AJ34" s="17" t="e">
        <f>_xlfn.RANK.EQ(AI34,($C34,$G34,$K34,$O34,$S34,$W34,$AA34,$AE34,$AI34,$AM34),1)</f>
        <v>#N/A</v>
      </c>
      <c r="AK34" s="33" t="str">
        <f t="shared" si="1"/>
        <v/>
      </c>
      <c r="AL34" s="17" t="e">
        <f>_xlfn.RANK.EQ(AK34,($C34,$G34,$K34,$O34,$S34,$W34),1)</f>
        <v>#VALUE!</v>
      </c>
      <c r="AM34" s="17"/>
      <c r="AN34" s="17" t="e">
        <f>_xlfn.RANK.EQ(AM34,($C34,$G34,$K34,$O34,$S34,$W34,$AA34,$AE34,$AI34,$AM34),1)</f>
        <v>#N/A</v>
      </c>
      <c r="AO34" s="33" t="str">
        <f t="shared" si="9"/>
        <v/>
      </c>
      <c r="AP34" s="17" t="e">
        <f>_xlfn.RANK.EQ(AO34,($C34,$G34,$K34,$O34,$S34,$W34),1)</f>
        <v>#VALUE!</v>
      </c>
    </row>
    <row r="35" spans="1:42" x14ac:dyDescent="0.3">
      <c r="A35" s="77"/>
      <c r="B35" s="31" t="s">
        <v>63</v>
      </c>
      <c r="C35" s="33"/>
      <c r="D35" s="17" t="e">
        <f>_xlfn.RANK.EQ(C35,($C35,$G35,$K35,$O35,$S35,$W35,$AB35,$AF35,$AJ35,$AN35),1)</f>
        <v>#N/A</v>
      </c>
      <c r="E35" s="33" t="str">
        <f t="shared" si="2"/>
        <v/>
      </c>
      <c r="F35" s="17" t="e">
        <f>_xlfn.RANK.EQ(E35,($C35,$G35,$K35,$O35,$S35,$W35),1)</f>
        <v>#VALUE!</v>
      </c>
      <c r="G35" s="17"/>
      <c r="H35" s="17" t="e">
        <f>_xlfn.RANK.EQ(G35,($C35,$G35,$K35,$O35,$S35,$W35,$AA35,$AE35,$AI35,$AM35),1)</f>
        <v>#N/A</v>
      </c>
      <c r="I35" s="33" t="str">
        <f t="shared" si="4"/>
        <v/>
      </c>
      <c r="J35" s="17" t="e">
        <f>_xlfn.RANK.EQ(I35,($C35,$G35,$K35,$O35,$S35,$W35),1)</f>
        <v>#VALUE!</v>
      </c>
      <c r="K35" s="17"/>
      <c r="L35" s="17" t="e">
        <f>_xlfn.RANK.EQ(K35,($C35,$G35,$K35,$O35,$S35,$W35,$AA35,$AE35,$AI35,$AM35),1)</f>
        <v>#N/A</v>
      </c>
      <c r="M35" s="33" t="str">
        <f t="shared" si="5"/>
        <v/>
      </c>
      <c r="N35" s="17" t="e">
        <f>_xlfn.RANK.EQ(M35,($C35,$G35,$K35,$O35,$S35,$W35),1)</f>
        <v>#VALUE!</v>
      </c>
      <c r="O35" s="17"/>
      <c r="P35" s="17" t="e">
        <f>_xlfn.RANK.EQ(O35,($C35,$G35,$K35,$O35,$S35,$W35,$AA35,$AE35,$AI35,$AM35),1)</f>
        <v>#N/A</v>
      </c>
      <c r="Q35" s="33" t="str">
        <f t="shared" si="6"/>
        <v/>
      </c>
      <c r="R35" s="17" t="e">
        <f>_xlfn.RANK.EQ(Q35,($C35,$G35,$K35,$O35,$S35,$W35),1)</f>
        <v>#VALUE!</v>
      </c>
      <c r="S35" s="17"/>
      <c r="T35" s="17" t="e">
        <f>_xlfn.RANK.EQ(S35,($C35,$G35,$K35,$O35,$S35,$W35,$AA35,$AE35,$AI35,$AM35),0)</f>
        <v>#N/A</v>
      </c>
      <c r="U35" s="33" t="str">
        <f t="shared" si="0"/>
        <v/>
      </c>
      <c r="V35" s="17" t="e">
        <f>_xlfn.RANK.EQ(U35,($C35,$G35,$K35,$O35,$S35,$W35),1)</f>
        <v>#VALUE!</v>
      </c>
      <c r="W35" s="17"/>
      <c r="X35" s="17" t="e">
        <f>_xlfn.RANK.EQ(W35,($C35,$G35,$K35,$O35,$S35,$W35,$AA35,$AE35,$AI35,$AM35),1)</f>
        <v>#N/A</v>
      </c>
      <c r="Y35" s="33" t="str">
        <f t="shared" si="3"/>
        <v/>
      </c>
      <c r="Z35" s="17" t="e">
        <f>_xlfn.RANK.EQ(Y35,($C35,$G35,$K35,$O35,$S35,$W35),1)</f>
        <v>#VALUE!</v>
      </c>
      <c r="AA35" s="17"/>
      <c r="AB35" s="17" t="e">
        <f>_xlfn.RANK.EQ(AA35,($C35,$G35,$K35,$O35,$S35,$W35,$AA35,$AE35,$AI35,$AM35),1)</f>
        <v>#N/A</v>
      </c>
      <c r="AC35" s="33" t="str">
        <f t="shared" si="7"/>
        <v/>
      </c>
      <c r="AD35" s="17" t="e">
        <f>_xlfn.RANK.EQ(AC35,($C35,$G35,$K35,$O35,$S35,$W35),1)</f>
        <v>#VALUE!</v>
      </c>
      <c r="AE35" s="17"/>
      <c r="AF35" s="17" t="e">
        <f>_xlfn.RANK.EQ(AE35,($C35,$G35,$K35,$O35,$S35,$W35,$AA35,$AE35,$AI35,$AM35),1)</f>
        <v>#N/A</v>
      </c>
      <c r="AG35" s="33" t="str">
        <f t="shared" si="8"/>
        <v/>
      </c>
      <c r="AH35" s="17" t="e">
        <f>_xlfn.RANK.EQ(AG35,($C35,$G35,$K35,$O35,$S35,$W35),1)</f>
        <v>#VALUE!</v>
      </c>
      <c r="AI35" s="17"/>
      <c r="AJ35" s="17" t="e">
        <f>_xlfn.RANK.EQ(AI35,($C35,$G35,$K35,$O35,$S35,$W35,$AA35,$AE35,$AI35,$AM35),1)</f>
        <v>#N/A</v>
      </c>
      <c r="AK35" s="33" t="str">
        <f t="shared" si="1"/>
        <v/>
      </c>
      <c r="AL35" s="17" t="e">
        <f>_xlfn.RANK.EQ(AK35,($C35,$G35,$K35,$O35,$S35,$W35),1)</f>
        <v>#VALUE!</v>
      </c>
      <c r="AM35" s="17"/>
      <c r="AN35" s="17" t="e">
        <f>_xlfn.RANK.EQ(AM35,($C35,$G35,$K35,$O35,$S35,$W35,$AA35,$AE35,$AI35,$AM35),1)</f>
        <v>#N/A</v>
      </c>
      <c r="AO35" s="33" t="str">
        <f t="shared" si="9"/>
        <v/>
      </c>
      <c r="AP35" s="17" t="e">
        <f>_xlfn.RANK.EQ(AO35,($C35,$G35,$K35,$O35,$S35,$W35),1)</f>
        <v>#VALUE!</v>
      </c>
    </row>
    <row r="36" spans="1:42" x14ac:dyDescent="0.3">
      <c r="A36" s="77">
        <v>9</v>
      </c>
      <c r="B36" s="31" t="s">
        <v>61</v>
      </c>
      <c r="C36" s="33"/>
      <c r="D36" s="17" t="e">
        <f>_xlfn.RANK.EQ(C36,($C36,$G36,$K36,$O36,$S36,$W36,$AB36,$AF36,$AJ36,$AN36),1)</f>
        <v>#N/A</v>
      </c>
      <c r="E36" s="33" t="str">
        <f t="shared" si="2"/>
        <v/>
      </c>
      <c r="F36" s="17" t="e">
        <f>_xlfn.RANK.EQ(E36,($C36,$G36,$K36,$O36,$S36,$W36),1)</f>
        <v>#VALUE!</v>
      </c>
      <c r="G36" s="17"/>
      <c r="H36" s="17" t="e">
        <f>_xlfn.RANK.EQ(G36,($C36,$G36,$K36,$O36,$S36,$W36,$AA36,$AE36,$AI36,$AM36),1)</f>
        <v>#N/A</v>
      </c>
      <c r="I36" s="33" t="str">
        <f t="shared" si="4"/>
        <v/>
      </c>
      <c r="J36" s="17" t="e">
        <f>_xlfn.RANK.EQ(I36,($C36,$G36,$K36,$O36,$S36,$W36),1)</f>
        <v>#VALUE!</v>
      </c>
      <c r="K36" s="17"/>
      <c r="L36" s="17" t="e">
        <f>_xlfn.RANK.EQ(K36,($C36,$G36,$K36,$O36,$S36,$W36,$AA36,$AE36,$AI36,$AM36),1)</f>
        <v>#N/A</v>
      </c>
      <c r="M36" s="33" t="str">
        <f t="shared" si="5"/>
        <v/>
      </c>
      <c r="N36" s="17" t="e">
        <f>_xlfn.RANK.EQ(M36,($C36,$G36,$K36,$O36,$S36,$W36),1)</f>
        <v>#VALUE!</v>
      </c>
      <c r="O36" s="17"/>
      <c r="P36" s="17" t="e">
        <f>_xlfn.RANK.EQ(O36,($C36,$G36,$K36,$O36,$S36,$W36,$AA36,$AE36,$AI36,$AM36),1)</f>
        <v>#N/A</v>
      </c>
      <c r="Q36" s="33" t="str">
        <f t="shared" si="6"/>
        <v/>
      </c>
      <c r="R36" s="17" t="e">
        <f>_xlfn.RANK.EQ(Q36,($C36,$G36,$K36,$O36,$S36,$W36),1)</f>
        <v>#VALUE!</v>
      </c>
      <c r="S36" s="17"/>
      <c r="T36" s="17" t="e">
        <f>_xlfn.RANK.EQ(S36,($C36,$G36,$K36,$O36,$S36,$W36,$AA36,$AE36,$AI36,$AM36),0)</f>
        <v>#N/A</v>
      </c>
      <c r="U36" s="33" t="str">
        <f t="shared" si="0"/>
        <v/>
      </c>
      <c r="V36" s="17" t="e">
        <f>_xlfn.RANK.EQ(U36,($C36,$G36,$K36,$O36,$S36,$W36),1)</f>
        <v>#VALUE!</v>
      </c>
      <c r="W36" s="17"/>
      <c r="X36" s="17" t="e">
        <f>_xlfn.RANK.EQ(W36,($C36,$G36,$K36,$O36,$S36,$W36,$AA36,$AE36,$AI36,$AM36),1)</f>
        <v>#N/A</v>
      </c>
      <c r="Y36" s="33" t="str">
        <f t="shared" si="3"/>
        <v/>
      </c>
      <c r="Z36" s="17" t="e">
        <f>_xlfn.RANK.EQ(Y36,($C36,$G36,$K36,$O36,$S36,$W36),1)</f>
        <v>#VALUE!</v>
      </c>
      <c r="AA36" s="17"/>
      <c r="AB36" s="17" t="e">
        <f>_xlfn.RANK.EQ(AA36,($C36,$G36,$K36,$O36,$S36,$W36,$AA36,$AE36,$AI36,$AM36),1)</f>
        <v>#N/A</v>
      </c>
      <c r="AC36" s="33" t="str">
        <f t="shared" si="7"/>
        <v/>
      </c>
      <c r="AD36" s="17" t="e">
        <f>_xlfn.RANK.EQ(AC36,($C36,$G36,$K36,$O36,$S36,$W36),1)</f>
        <v>#VALUE!</v>
      </c>
      <c r="AE36" s="17"/>
      <c r="AF36" s="17" t="e">
        <f>_xlfn.RANK.EQ(AE36,($C36,$G36,$K36,$O36,$S36,$W36,$AA36,$AE36,$AI36,$AM36),1)</f>
        <v>#N/A</v>
      </c>
      <c r="AG36" s="33" t="str">
        <f t="shared" si="8"/>
        <v/>
      </c>
      <c r="AH36" s="17" t="e">
        <f>_xlfn.RANK.EQ(AG36,($C36,$G36,$K36,$O36,$S36,$W36),1)</f>
        <v>#VALUE!</v>
      </c>
      <c r="AI36" s="17"/>
      <c r="AJ36" s="17" t="e">
        <f>_xlfn.RANK.EQ(AI36,($C36,$G36,$K36,$O36,$S36,$W36,$AA36,$AE36,$AI36,$AM36),1)</f>
        <v>#N/A</v>
      </c>
      <c r="AK36" s="33" t="str">
        <f t="shared" si="1"/>
        <v/>
      </c>
      <c r="AL36" s="17" t="e">
        <f>_xlfn.RANK.EQ(AK36,($C36,$G36,$K36,$O36,$S36,$W36),1)</f>
        <v>#VALUE!</v>
      </c>
      <c r="AM36" s="17"/>
      <c r="AN36" s="17" t="e">
        <f>_xlfn.RANK.EQ(AM36,($C36,$G36,$K36,$O36,$S36,$W36,$AA36,$AE36,$AI36,$AM36),1)</f>
        <v>#N/A</v>
      </c>
      <c r="AO36" s="33" t="str">
        <f t="shared" si="9"/>
        <v/>
      </c>
      <c r="AP36" s="17" t="e">
        <f>_xlfn.RANK.EQ(AO36,($C36,$G36,$K36,$O36,$S36,$W36),1)</f>
        <v>#VALUE!</v>
      </c>
    </row>
    <row r="37" spans="1:42" x14ac:dyDescent="0.3">
      <c r="A37" s="77"/>
      <c r="B37" s="31" t="s">
        <v>62</v>
      </c>
      <c r="C37" s="33"/>
      <c r="D37" s="17" t="e">
        <f>_xlfn.RANK.EQ(C37,($C37,$G37,$K37,$O37,$S37,$W37,$AB37,$AF37,$AJ37,$AN37),1)</f>
        <v>#N/A</v>
      </c>
      <c r="E37" s="33" t="str">
        <f t="shared" si="2"/>
        <v/>
      </c>
      <c r="F37" s="17" t="e">
        <f>_xlfn.RANK.EQ(E37,($C37,$G37,$K37,$O37,$S37,$W37),1)</f>
        <v>#VALUE!</v>
      </c>
      <c r="G37" s="17"/>
      <c r="H37" s="17" t="e">
        <f>_xlfn.RANK.EQ(G37,($C37,$G37,$K37,$O37,$S37,$W37,$AA37,$AE37,$AI37,$AM37),1)</f>
        <v>#N/A</v>
      </c>
      <c r="I37" s="33" t="str">
        <f t="shared" si="4"/>
        <v/>
      </c>
      <c r="J37" s="17" t="e">
        <f>_xlfn.RANK.EQ(I37,($C37,$G37,$K37,$O37,$S37,$W37),1)</f>
        <v>#VALUE!</v>
      </c>
      <c r="K37" s="17"/>
      <c r="L37" s="17" t="e">
        <f>_xlfn.RANK.EQ(K37,($C37,$G37,$K37,$O37,$S37,$W37,$AA37,$AE37,$AI37,$AM37),1)</f>
        <v>#N/A</v>
      </c>
      <c r="M37" s="33" t="str">
        <f t="shared" si="5"/>
        <v/>
      </c>
      <c r="N37" s="17" t="e">
        <f>_xlfn.RANK.EQ(M37,($C37,$G37,$K37,$O37,$S37,$W37),1)</f>
        <v>#VALUE!</v>
      </c>
      <c r="O37" s="17"/>
      <c r="P37" s="17" t="e">
        <f>_xlfn.RANK.EQ(O37,($C37,$G37,$K37,$O37,$S37,$W37,$AA37,$AE37,$AI37,$AM37),1)</f>
        <v>#N/A</v>
      </c>
      <c r="Q37" s="33" t="str">
        <f t="shared" si="6"/>
        <v/>
      </c>
      <c r="R37" s="17" t="e">
        <f>_xlfn.RANK.EQ(Q37,($C37,$G37,$K37,$O37,$S37,$W37),1)</f>
        <v>#VALUE!</v>
      </c>
      <c r="S37" s="17"/>
      <c r="T37" s="17" t="e">
        <f>_xlfn.RANK.EQ(S37,($C37,$G37,$K37,$O37,$S37,$W37,$AA37,$AE37,$AI37,$AM37),0)</f>
        <v>#N/A</v>
      </c>
      <c r="U37" s="33" t="str">
        <f t="shared" si="0"/>
        <v/>
      </c>
      <c r="V37" s="17" t="e">
        <f>_xlfn.RANK.EQ(U37,($C37,$G37,$K37,$O37,$S37,$W37),1)</f>
        <v>#VALUE!</v>
      </c>
      <c r="W37" s="17"/>
      <c r="X37" s="17" t="e">
        <f>_xlfn.RANK.EQ(W37,($C37,$G37,$K37,$O37,$S37,$W37,$AA37,$AE37,$AI37,$AM37),1)</f>
        <v>#N/A</v>
      </c>
      <c r="Y37" s="33" t="str">
        <f t="shared" si="3"/>
        <v/>
      </c>
      <c r="Z37" s="17" t="e">
        <f>_xlfn.RANK.EQ(Y37,($C37,$G37,$K37,$O37,$S37,$W37),1)</f>
        <v>#VALUE!</v>
      </c>
      <c r="AA37" s="17"/>
      <c r="AB37" s="17" t="e">
        <f>_xlfn.RANK.EQ(AA37,($C37,$G37,$K37,$O37,$S37,$W37,$AA37,$AE37,$AI37,$AM37),1)</f>
        <v>#N/A</v>
      </c>
      <c r="AC37" s="33" t="str">
        <f t="shared" si="7"/>
        <v/>
      </c>
      <c r="AD37" s="17" t="e">
        <f>_xlfn.RANK.EQ(AC37,($C37,$G37,$K37,$O37,$S37,$W37),1)</f>
        <v>#VALUE!</v>
      </c>
      <c r="AE37" s="17"/>
      <c r="AF37" s="17" t="e">
        <f>_xlfn.RANK.EQ(AE37,($C37,$G37,$K37,$O37,$S37,$W37,$AA37,$AE37,$AI37,$AM37),1)</f>
        <v>#N/A</v>
      </c>
      <c r="AG37" s="33" t="str">
        <f t="shared" si="8"/>
        <v/>
      </c>
      <c r="AH37" s="17" t="e">
        <f>_xlfn.RANK.EQ(AG37,($C37,$G37,$K37,$O37,$S37,$W37),1)</f>
        <v>#VALUE!</v>
      </c>
      <c r="AI37" s="17"/>
      <c r="AJ37" s="17" t="e">
        <f>_xlfn.RANK.EQ(AI37,($C37,$G37,$K37,$O37,$S37,$W37,$AA37,$AE37,$AI37,$AM37),1)</f>
        <v>#N/A</v>
      </c>
      <c r="AK37" s="33" t="str">
        <f t="shared" si="1"/>
        <v/>
      </c>
      <c r="AL37" s="17" t="e">
        <f>_xlfn.RANK.EQ(AK37,($C37,$G37,$K37,$O37,$S37,$W37),1)</f>
        <v>#VALUE!</v>
      </c>
      <c r="AM37" s="17"/>
      <c r="AN37" s="17" t="e">
        <f>_xlfn.RANK.EQ(AM37,($C37,$G37,$K37,$O37,$S37,$W37,$AA37,$AE37,$AI37,$AM37),1)</f>
        <v>#N/A</v>
      </c>
      <c r="AO37" s="33" t="str">
        <f t="shared" si="9"/>
        <v/>
      </c>
      <c r="AP37" s="17" t="e">
        <f>_xlfn.RANK.EQ(AO37,($C37,$G37,$K37,$O37,$S37,$W37),1)</f>
        <v>#VALUE!</v>
      </c>
    </row>
    <row r="38" spans="1:42" x14ac:dyDescent="0.3">
      <c r="A38" s="77"/>
      <c r="B38" s="31" t="s">
        <v>63</v>
      </c>
      <c r="C38" s="33"/>
      <c r="D38" s="17" t="e">
        <f>_xlfn.RANK.EQ(C38,($C38,$G38,$K38,$O38,$S38,$W38,$AB38,$AF38,$AJ38,$AN38),1)</f>
        <v>#N/A</v>
      </c>
      <c r="E38" s="33" t="str">
        <f t="shared" si="2"/>
        <v/>
      </c>
      <c r="F38" s="17" t="e">
        <f>_xlfn.RANK.EQ(E38,($C38,$G38,$K38,$O38,$S38,$W38),1)</f>
        <v>#VALUE!</v>
      </c>
      <c r="G38" s="17"/>
      <c r="H38" s="17" t="e">
        <f>_xlfn.RANK.EQ(G38,($C38,$G38,$K38,$O38,$S38,$W38,$AA38,$AE38,$AI38,$AM38),1)</f>
        <v>#N/A</v>
      </c>
      <c r="I38" s="33" t="str">
        <f t="shared" si="4"/>
        <v/>
      </c>
      <c r="J38" s="17" t="e">
        <f>_xlfn.RANK.EQ(I38,($C38,$G38,$K38,$O38,$S38,$W38),1)</f>
        <v>#VALUE!</v>
      </c>
      <c r="K38" s="17"/>
      <c r="L38" s="17" t="e">
        <f>_xlfn.RANK.EQ(K38,($C38,$G38,$K38,$O38,$S38,$W38,$AA38,$AE38,$AI38,$AM38),1)</f>
        <v>#N/A</v>
      </c>
      <c r="M38" s="33" t="str">
        <f t="shared" si="5"/>
        <v/>
      </c>
      <c r="N38" s="17" t="e">
        <f>_xlfn.RANK.EQ(M38,($C38,$G38,$K38,$O38,$S38,$W38),1)</f>
        <v>#VALUE!</v>
      </c>
      <c r="O38" s="17"/>
      <c r="P38" s="17" t="e">
        <f>_xlfn.RANK.EQ(O38,($C38,$G38,$K38,$O38,$S38,$W38,$AA38,$AE38,$AI38,$AM38),1)</f>
        <v>#N/A</v>
      </c>
      <c r="Q38" s="33" t="str">
        <f t="shared" si="6"/>
        <v/>
      </c>
      <c r="R38" s="17" t="e">
        <f>_xlfn.RANK.EQ(Q38,($C38,$G38,$K38,$O38,$S38,$W38),1)</f>
        <v>#VALUE!</v>
      </c>
      <c r="S38" s="17"/>
      <c r="T38" s="17" t="e">
        <f>_xlfn.RANK.EQ(S38,($C38,$G38,$K38,$O38,$S38,$W38,$AA38,$AE38,$AI38,$AM38),0)</f>
        <v>#N/A</v>
      </c>
      <c r="U38" s="33" t="str">
        <f t="shared" si="0"/>
        <v/>
      </c>
      <c r="V38" s="17" t="e">
        <f>_xlfn.RANK.EQ(U38,($C38,$G38,$K38,$O38,$S38,$W38),1)</f>
        <v>#VALUE!</v>
      </c>
      <c r="W38" s="17"/>
      <c r="X38" s="17" t="e">
        <f>_xlfn.RANK.EQ(W38,($C38,$G38,$K38,$O38,$S38,$W38,$AA38,$AE38,$AI38,$AM38),1)</f>
        <v>#N/A</v>
      </c>
      <c r="Y38" s="33" t="str">
        <f t="shared" si="3"/>
        <v/>
      </c>
      <c r="Z38" s="17" t="e">
        <f>_xlfn.RANK.EQ(Y38,($C38,$G38,$K38,$O38,$S38,$W38),1)</f>
        <v>#VALUE!</v>
      </c>
      <c r="AA38" s="17"/>
      <c r="AB38" s="17" t="e">
        <f>_xlfn.RANK.EQ(AA38,($C38,$G38,$K38,$O38,$S38,$W38,$AA38,$AE38,$AI38,$AM38),1)</f>
        <v>#N/A</v>
      </c>
      <c r="AC38" s="33" t="str">
        <f t="shared" si="7"/>
        <v/>
      </c>
      <c r="AD38" s="17" t="e">
        <f>_xlfn.RANK.EQ(AC38,($C38,$G38,$K38,$O38,$S38,$W38),1)</f>
        <v>#VALUE!</v>
      </c>
      <c r="AE38" s="17"/>
      <c r="AF38" s="17" t="e">
        <f>_xlfn.RANK.EQ(AE38,($C38,$G38,$K38,$O38,$S38,$W38,$AA38,$AE38,$AI38,$AM38),1)</f>
        <v>#N/A</v>
      </c>
      <c r="AG38" s="33" t="str">
        <f t="shared" si="8"/>
        <v/>
      </c>
      <c r="AH38" s="17" t="e">
        <f>_xlfn.RANK.EQ(AG38,($C38,$G38,$K38,$O38,$S38,$W38),1)</f>
        <v>#VALUE!</v>
      </c>
      <c r="AI38" s="17"/>
      <c r="AJ38" s="17" t="e">
        <f>_xlfn.RANK.EQ(AI38,($C38,$G38,$K38,$O38,$S38,$W38,$AA38,$AE38,$AI38,$AM38),1)</f>
        <v>#N/A</v>
      </c>
      <c r="AK38" s="33" t="str">
        <f t="shared" si="1"/>
        <v/>
      </c>
      <c r="AL38" s="17" t="e">
        <f>_xlfn.RANK.EQ(AK38,($C38,$G38,$K38,$O38,$S38,$W38),1)</f>
        <v>#VALUE!</v>
      </c>
      <c r="AM38" s="17"/>
      <c r="AN38" s="17" t="e">
        <f>_xlfn.RANK.EQ(AM38,($C38,$G38,$K38,$O38,$S38,$W38,$AA38,$AE38,$AI38,$AM38),1)</f>
        <v>#N/A</v>
      </c>
      <c r="AO38" s="33" t="str">
        <f t="shared" si="9"/>
        <v/>
      </c>
      <c r="AP38" s="17" t="e">
        <f>_xlfn.RANK.EQ(AO38,($C38,$G38,$K38,$O38,$S38,$W38),1)</f>
        <v>#VALUE!</v>
      </c>
    </row>
    <row r="39" spans="1:42" x14ac:dyDescent="0.3">
      <c r="A39" s="77">
        <v>10</v>
      </c>
      <c r="B39" s="31" t="s">
        <v>61</v>
      </c>
      <c r="C39" s="33"/>
      <c r="D39" s="17" t="e">
        <f>_xlfn.RANK.EQ(C39,($C39,$G39,$K39,$O39,$S39,$W39,$AB39,$AF39,$AJ39,$AN39),1)</f>
        <v>#N/A</v>
      </c>
      <c r="E39" s="33" t="str">
        <f t="shared" si="2"/>
        <v/>
      </c>
      <c r="F39" s="17" t="e">
        <f>_xlfn.RANK.EQ(E39,($C39,$G39,$K39,$O39,$S39,$W39),1)</f>
        <v>#VALUE!</v>
      </c>
      <c r="G39" s="17"/>
      <c r="H39" s="17" t="e">
        <f>_xlfn.RANK.EQ(G39,($C39,$G39,$K39,$O39,$S39,$W39,$AA39,$AE39,$AI39,$AM39),1)</f>
        <v>#N/A</v>
      </c>
      <c r="I39" s="33" t="str">
        <f t="shared" si="4"/>
        <v/>
      </c>
      <c r="J39" s="17" t="e">
        <f>_xlfn.RANK.EQ(I39,($C39,$G39,$K39,$O39,$S39,$W39),1)</f>
        <v>#VALUE!</v>
      </c>
      <c r="K39" s="17"/>
      <c r="L39" s="17" t="e">
        <f>_xlfn.RANK.EQ(K39,($C39,$G39,$K39,$O39,$S39,$W39,$AA39,$AE39,$AI39,$AM39),1)</f>
        <v>#N/A</v>
      </c>
      <c r="M39" s="33" t="str">
        <f t="shared" si="5"/>
        <v/>
      </c>
      <c r="N39" s="17" t="e">
        <f>_xlfn.RANK.EQ(M39,($C39,$G39,$K39,$O39,$S39,$W39),1)</f>
        <v>#VALUE!</v>
      </c>
      <c r="O39" s="17"/>
      <c r="P39" s="17" t="e">
        <f>_xlfn.RANK.EQ(O39,($C39,$G39,$K39,$O39,$S39,$W39,$AA39,$AE39,$AI39,$AM39),1)</f>
        <v>#N/A</v>
      </c>
      <c r="Q39" s="33" t="str">
        <f t="shared" si="6"/>
        <v/>
      </c>
      <c r="R39" s="17" t="e">
        <f>_xlfn.RANK.EQ(Q39,($C39,$G39,$K39,$O39,$S39,$W39),1)</f>
        <v>#VALUE!</v>
      </c>
      <c r="S39" s="17"/>
      <c r="T39" s="17" t="e">
        <f>_xlfn.RANK.EQ(S39,($C39,$G39,$K39,$O39,$S39,$W39,$AA39,$AE39,$AI39,$AM39),0)</f>
        <v>#N/A</v>
      </c>
      <c r="U39" s="33" t="str">
        <f t="shared" si="0"/>
        <v/>
      </c>
      <c r="V39" s="17" t="e">
        <f>_xlfn.RANK.EQ(U39,($C39,$G39,$K39,$O39,$S39,$W39),1)</f>
        <v>#VALUE!</v>
      </c>
      <c r="W39" s="17"/>
      <c r="X39" s="17" t="e">
        <f>_xlfn.RANK.EQ(W39,($C39,$G39,$K39,$O39,$S39,$W39,$AA39,$AE39,$AI39,$AM39),1)</f>
        <v>#N/A</v>
      </c>
      <c r="Y39" s="33" t="str">
        <f t="shared" si="3"/>
        <v/>
      </c>
      <c r="Z39" s="17" t="e">
        <f>_xlfn.RANK.EQ(Y39,($C39,$G39,$K39,$O39,$S39,$W39),1)</f>
        <v>#VALUE!</v>
      </c>
      <c r="AA39" s="17"/>
      <c r="AB39" s="17" t="e">
        <f>_xlfn.RANK.EQ(AA39,($C39,$G39,$K39,$O39,$S39,$W39,$AA39,$AE39,$AI39,$AM39),1)</f>
        <v>#N/A</v>
      </c>
      <c r="AC39" s="33" t="str">
        <f t="shared" si="7"/>
        <v/>
      </c>
      <c r="AD39" s="17" t="e">
        <f>_xlfn.RANK.EQ(AC39,($C39,$G39,$K39,$O39,$S39,$W39),1)</f>
        <v>#VALUE!</v>
      </c>
      <c r="AE39" s="17"/>
      <c r="AF39" s="17" t="e">
        <f>_xlfn.RANK.EQ(AE39,($C39,$G39,$K39,$O39,$S39,$W39,$AA39,$AE39,$AI39,$AM39),1)</f>
        <v>#N/A</v>
      </c>
      <c r="AG39" s="33" t="str">
        <f t="shared" si="8"/>
        <v/>
      </c>
      <c r="AH39" s="17" t="e">
        <f>_xlfn.RANK.EQ(AG39,($C39,$G39,$K39,$O39,$S39,$W39),1)</f>
        <v>#VALUE!</v>
      </c>
      <c r="AI39" s="17"/>
      <c r="AJ39" s="17" t="e">
        <f>_xlfn.RANK.EQ(AI39,($C39,$G39,$K39,$O39,$S39,$W39,$AA39,$AE39,$AI39,$AM39),1)</f>
        <v>#N/A</v>
      </c>
      <c r="AK39" s="33" t="str">
        <f t="shared" si="1"/>
        <v/>
      </c>
      <c r="AL39" s="17" t="e">
        <f>_xlfn.RANK.EQ(AK39,($C39,$G39,$K39,$O39,$S39,$W39),1)</f>
        <v>#VALUE!</v>
      </c>
      <c r="AM39" s="17"/>
      <c r="AN39" s="17" t="e">
        <f>_xlfn.RANK.EQ(AM39,($C39,$G39,$K39,$O39,$S39,$W39,$AA39,$AE39,$AI39,$AM39),1)</f>
        <v>#N/A</v>
      </c>
      <c r="AO39" s="33" t="str">
        <f t="shared" si="9"/>
        <v/>
      </c>
      <c r="AP39" s="17" t="e">
        <f>_xlfn.RANK.EQ(AO39,($C39,$G39,$K39,$O39,$S39,$W39),1)</f>
        <v>#VALUE!</v>
      </c>
    </row>
    <row r="40" spans="1:42" x14ac:dyDescent="0.3">
      <c r="A40" s="77"/>
      <c r="B40" s="31" t="s">
        <v>62</v>
      </c>
      <c r="C40" s="33"/>
      <c r="D40" s="17" t="e">
        <f>_xlfn.RANK.EQ(C40,($C40,$G40,$K40,$O40,$S40,$W40,$AB40,$AF40,$AJ40,$AN40),1)</f>
        <v>#N/A</v>
      </c>
      <c r="E40" s="33" t="str">
        <f t="shared" si="2"/>
        <v/>
      </c>
      <c r="F40" s="17" t="e">
        <f>_xlfn.RANK.EQ(E40,($C40,$G40,$K40,$O40,$S40,$W40),1)</f>
        <v>#VALUE!</v>
      </c>
      <c r="G40" s="17"/>
      <c r="H40" s="17" t="e">
        <f>_xlfn.RANK.EQ(G40,($C40,$G40,$K40,$O40,$S40,$W40,$AA40,$AE40,$AI40,$AM40),1)</f>
        <v>#N/A</v>
      </c>
      <c r="I40" s="33" t="str">
        <f t="shared" si="4"/>
        <v/>
      </c>
      <c r="J40" s="17" t="e">
        <f>_xlfn.RANK.EQ(I40,($C40,$G40,$K40,$O40,$S40,$W40),1)</f>
        <v>#VALUE!</v>
      </c>
      <c r="K40" s="17"/>
      <c r="L40" s="17" t="e">
        <f>_xlfn.RANK.EQ(K40,($C40,$G40,$K40,$O40,$S40,$W40,$AA40,$AE40,$AI40,$AM40),1)</f>
        <v>#N/A</v>
      </c>
      <c r="M40" s="33" t="str">
        <f t="shared" si="5"/>
        <v/>
      </c>
      <c r="N40" s="17" t="e">
        <f>_xlfn.RANK.EQ(M40,($C40,$G40,$K40,$O40,$S40,$W40),1)</f>
        <v>#VALUE!</v>
      </c>
      <c r="O40" s="17"/>
      <c r="P40" s="17" t="e">
        <f>_xlfn.RANK.EQ(O40,($C40,$G40,$K40,$O40,$S40,$W40,$AA40,$AE40,$AI40,$AM40),1)</f>
        <v>#N/A</v>
      </c>
      <c r="Q40" s="33" t="str">
        <f t="shared" si="6"/>
        <v/>
      </c>
      <c r="R40" s="17" t="e">
        <f>_xlfn.RANK.EQ(Q40,($C40,$G40,$K40,$O40,$S40,$W40),1)</f>
        <v>#VALUE!</v>
      </c>
      <c r="S40" s="17"/>
      <c r="T40" s="17" t="e">
        <f>_xlfn.RANK.EQ(S40,($C40,$G40,$K40,$O40,$S40,$W40,$AA40,$AE40,$AI40,$AM40),0)</f>
        <v>#N/A</v>
      </c>
      <c r="U40" s="33" t="str">
        <f t="shared" si="0"/>
        <v/>
      </c>
      <c r="V40" s="17" t="e">
        <f>_xlfn.RANK.EQ(U40,($C40,$G40,$K40,$O40,$S40,$W40),1)</f>
        <v>#VALUE!</v>
      </c>
      <c r="W40" s="17"/>
      <c r="X40" s="17" t="e">
        <f>_xlfn.RANK.EQ(W40,($C40,$G40,$K40,$O40,$S40,$W40,$AA40,$AE40,$AI40,$AM40),1)</f>
        <v>#N/A</v>
      </c>
      <c r="Y40" s="33" t="str">
        <f t="shared" si="3"/>
        <v/>
      </c>
      <c r="Z40" s="17" t="e">
        <f>_xlfn.RANK.EQ(Y40,($C40,$G40,$K40,$O40,$S40,$W40),1)</f>
        <v>#VALUE!</v>
      </c>
      <c r="AA40" s="17"/>
      <c r="AB40" s="17" t="e">
        <f>_xlfn.RANK.EQ(AA40,($C40,$G40,$K40,$O40,$S40,$W40,$AA40,$AE40,$AI40,$AM40),1)</f>
        <v>#N/A</v>
      </c>
      <c r="AC40" s="33" t="str">
        <f t="shared" si="7"/>
        <v/>
      </c>
      <c r="AD40" s="17" t="e">
        <f>_xlfn.RANK.EQ(AC40,($C40,$G40,$K40,$O40,$S40,$W40),1)</f>
        <v>#VALUE!</v>
      </c>
      <c r="AE40" s="17"/>
      <c r="AF40" s="17" t="e">
        <f>_xlfn.RANK.EQ(AE40,($C40,$G40,$K40,$O40,$S40,$W40,$AA40,$AE40,$AI40,$AM40),1)</f>
        <v>#N/A</v>
      </c>
      <c r="AG40" s="33" t="str">
        <f t="shared" si="8"/>
        <v/>
      </c>
      <c r="AH40" s="17" t="e">
        <f>_xlfn.RANK.EQ(AG40,($C40,$G40,$K40,$O40,$S40,$W40),1)</f>
        <v>#VALUE!</v>
      </c>
      <c r="AI40" s="17"/>
      <c r="AJ40" s="17" t="e">
        <f>_xlfn.RANK.EQ(AI40,($C40,$G40,$K40,$O40,$S40,$W40,$AA40,$AE40,$AI40,$AM40),1)</f>
        <v>#N/A</v>
      </c>
      <c r="AK40" s="33" t="str">
        <f t="shared" si="1"/>
        <v/>
      </c>
      <c r="AL40" s="17" t="e">
        <f>_xlfn.RANK.EQ(AK40,($C40,$G40,$K40,$O40,$S40,$W40),1)</f>
        <v>#VALUE!</v>
      </c>
      <c r="AM40" s="17"/>
      <c r="AN40" s="17" t="e">
        <f>_xlfn.RANK.EQ(AM40,($C40,$G40,$K40,$O40,$S40,$W40,$AA40,$AE40,$AI40,$AM40),1)</f>
        <v>#N/A</v>
      </c>
      <c r="AO40" s="33" t="str">
        <f t="shared" si="9"/>
        <v/>
      </c>
      <c r="AP40" s="17" t="e">
        <f>_xlfn.RANK.EQ(AO40,($C40,$G40,$K40,$O40,$S40,$W40),1)</f>
        <v>#VALUE!</v>
      </c>
    </row>
    <row r="41" spans="1:42" x14ac:dyDescent="0.3">
      <c r="A41" s="77"/>
      <c r="B41" s="31" t="s">
        <v>63</v>
      </c>
      <c r="C41" s="33"/>
      <c r="D41" s="17" t="e">
        <f>_xlfn.RANK.EQ(C41,($C41,$G41,$K41,$O41,$S41,$W41,$AB41,$AF41,$AJ41,$AN41),1)</f>
        <v>#N/A</v>
      </c>
      <c r="E41" s="33" t="str">
        <f t="shared" si="2"/>
        <v/>
      </c>
      <c r="F41" s="17" t="e">
        <f>_xlfn.RANK.EQ(E41,($C41,$G41,$K41,$O41,$S41,$W41),1)</f>
        <v>#VALUE!</v>
      </c>
      <c r="G41" s="17"/>
      <c r="H41" s="17" t="e">
        <f>_xlfn.RANK.EQ(G41,($C41,$G41,$K41,$O41,$S41,$W41,$AA41,$AE41,$AI41,$AM41),1)</f>
        <v>#N/A</v>
      </c>
      <c r="I41" s="33" t="str">
        <f t="shared" si="4"/>
        <v/>
      </c>
      <c r="J41" s="17" t="e">
        <f>_xlfn.RANK.EQ(I41,($C41,$G41,$K41,$O41,$S41,$W41),1)</f>
        <v>#VALUE!</v>
      </c>
      <c r="K41" s="17"/>
      <c r="L41" s="17" t="e">
        <f>_xlfn.RANK.EQ(K41,($C41,$G41,$K41,$O41,$S41,$W41,$AA41,$AE41,$AI41,$AM41),1)</f>
        <v>#N/A</v>
      </c>
      <c r="M41" s="33" t="str">
        <f t="shared" si="5"/>
        <v/>
      </c>
      <c r="N41" s="17" t="e">
        <f>_xlfn.RANK.EQ(M41,($C41,$G41,$K41,$O41,$S41,$W41),1)</f>
        <v>#VALUE!</v>
      </c>
      <c r="O41" s="17"/>
      <c r="P41" s="17" t="e">
        <f>_xlfn.RANK.EQ(O41,($C41,$G41,$K41,$O41,$S41,$W41,$AA41,$AE41,$AI41,$AM41),1)</f>
        <v>#N/A</v>
      </c>
      <c r="Q41" s="33" t="str">
        <f t="shared" si="6"/>
        <v/>
      </c>
      <c r="R41" s="17" t="e">
        <f>_xlfn.RANK.EQ(Q41,($C41,$G41,$K41,$O41,$S41,$W41),1)</f>
        <v>#VALUE!</v>
      </c>
      <c r="S41" s="17"/>
      <c r="T41" s="17" t="e">
        <f>_xlfn.RANK.EQ(S41,($C41,$G41,$K41,$O41,$S41,$W41,$AA41,$AE41,$AI41,$AM41),0)</f>
        <v>#N/A</v>
      </c>
      <c r="U41" s="33" t="str">
        <f t="shared" si="0"/>
        <v/>
      </c>
      <c r="V41" s="17" t="e">
        <f>_xlfn.RANK.EQ(U41,($C41,$G41,$K41,$O41,$S41,$W41),1)</f>
        <v>#VALUE!</v>
      </c>
      <c r="W41" s="17"/>
      <c r="X41" s="17" t="e">
        <f>_xlfn.RANK.EQ(W41,($C41,$G41,$K41,$O41,$S41,$W41,$AA41,$AE41,$AI41,$AM41),1)</f>
        <v>#N/A</v>
      </c>
      <c r="Y41" s="33" t="str">
        <f t="shared" si="3"/>
        <v/>
      </c>
      <c r="Z41" s="17" t="e">
        <f>_xlfn.RANK.EQ(Y41,($C41,$G41,$K41,$O41,$S41,$W41),1)</f>
        <v>#VALUE!</v>
      </c>
      <c r="AA41" s="17"/>
      <c r="AB41" s="17" t="e">
        <f>_xlfn.RANK.EQ(AA41,($C41,$G41,$K41,$O41,$S41,$W41,$AA41,$AE41,$AI41,$AM41),1)</f>
        <v>#N/A</v>
      </c>
      <c r="AC41" s="33" t="str">
        <f t="shared" si="7"/>
        <v/>
      </c>
      <c r="AD41" s="17" t="e">
        <f>_xlfn.RANK.EQ(AC41,($C41,$G41,$K41,$O41,$S41,$W41),1)</f>
        <v>#VALUE!</v>
      </c>
      <c r="AE41" s="17"/>
      <c r="AF41" s="17" t="e">
        <f>_xlfn.RANK.EQ(AE41,($C41,$G41,$K41,$O41,$S41,$W41,$AA41,$AE41,$AI41,$AM41),1)</f>
        <v>#N/A</v>
      </c>
      <c r="AG41" s="33" t="str">
        <f t="shared" si="8"/>
        <v/>
      </c>
      <c r="AH41" s="17" t="e">
        <f>_xlfn.RANK.EQ(AG41,($C41,$G41,$K41,$O41,$S41,$W41),1)</f>
        <v>#VALUE!</v>
      </c>
      <c r="AI41" s="17"/>
      <c r="AJ41" s="17" t="e">
        <f>_xlfn.RANK.EQ(AI41,($C41,$G41,$K41,$O41,$S41,$W41,$AA41,$AE41,$AI41,$AM41),1)</f>
        <v>#N/A</v>
      </c>
      <c r="AK41" s="33" t="str">
        <f t="shared" si="1"/>
        <v/>
      </c>
      <c r="AL41" s="17" t="e">
        <f>_xlfn.RANK.EQ(AK41,($C41,$G41,$K41,$O41,$S41,$W41),1)</f>
        <v>#VALUE!</v>
      </c>
      <c r="AM41" s="17"/>
      <c r="AN41" s="17" t="e">
        <f>_xlfn.RANK.EQ(AM41,($C41,$G41,$K41,$O41,$S41,$W41,$AA41,$AE41,$AI41,$AM41),1)</f>
        <v>#N/A</v>
      </c>
      <c r="AO41" s="33" t="str">
        <f t="shared" si="9"/>
        <v/>
      </c>
      <c r="AP41" s="17" t="e">
        <f>_xlfn.RANK.EQ(AO41,($C41,$G41,$K41,$O41,$S41,$W41),1)</f>
        <v>#VALUE!</v>
      </c>
    </row>
    <row r="42" spans="1:42" x14ac:dyDescent="0.3">
      <c r="A42" s="77">
        <v>11</v>
      </c>
      <c r="B42" s="31" t="s">
        <v>61</v>
      </c>
      <c r="C42" s="33"/>
      <c r="D42" s="17" t="e">
        <f>_xlfn.RANK.EQ(C42,($C42,$G42,$K42,$O42,$S42,$W42,$AB42,$AF42,$AJ42,$AN42),1)</f>
        <v>#N/A</v>
      </c>
      <c r="E42" s="33" t="str">
        <f t="shared" si="2"/>
        <v/>
      </c>
      <c r="F42" s="17" t="e">
        <f>_xlfn.RANK.EQ(E42,($C42,$G42,$K42,$O42,$S42,$W42),1)</f>
        <v>#VALUE!</v>
      </c>
      <c r="G42" s="17"/>
      <c r="H42" s="17" t="e">
        <f>_xlfn.RANK.EQ(G42,($C42,$G42,$K42,$O42,$S42,$W42,$AA42,$AE42,$AI42,$AM42),1)</f>
        <v>#N/A</v>
      </c>
      <c r="I42" s="33" t="str">
        <f t="shared" si="4"/>
        <v/>
      </c>
      <c r="J42" s="17" t="e">
        <f>_xlfn.RANK.EQ(I42,($C42,$G42,$K42,$O42,$S42,$W42),1)</f>
        <v>#VALUE!</v>
      </c>
      <c r="K42" s="17"/>
      <c r="L42" s="17" t="e">
        <f>_xlfn.RANK.EQ(K42,($C42,$G42,$K42,$O42,$S42,$W42,$AA42,$AE42,$AI42,$AM42),1)</f>
        <v>#N/A</v>
      </c>
      <c r="M42" s="33" t="str">
        <f t="shared" si="5"/>
        <v/>
      </c>
      <c r="N42" s="17" t="e">
        <f>_xlfn.RANK.EQ(M42,($C42,$G42,$K42,$O42,$S42,$W42),1)</f>
        <v>#VALUE!</v>
      </c>
      <c r="O42" s="17"/>
      <c r="P42" s="17" t="e">
        <f>_xlfn.RANK.EQ(O42,($C42,$G42,$K42,$O42,$S42,$W42,$AA42,$AE42,$AI42,$AM42),1)</f>
        <v>#N/A</v>
      </c>
      <c r="Q42" s="33" t="str">
        <f t="shared" si="6"/>
        <v/>
      </c>
      <c r="R42" s="17" t="e">
        <f>_xlfn.RANK.EQ(Q42,($C42,$G42,$K42,$O42,$S42,$W42),1)</f>
        <v>#VALUE!</v>
      </c>
      <c r="S42" s="17"/>
      <c r="T42" s="17" t="e">
        <f>_xlfn.RANK.EQ(S42,($C42,$G42,$K42,$O42,$S42,$W42,$AA42,$AE42,$AI42,$AM42),0)</f>
        <v>#N/A</v>
      </c>
      <c r="U42" s="33" t="str">
        <f t="shared" si="0"/>
        <v/>
      </c>
      <c r="V42" s="17" t="e">
        <f>_xlfn.RANK.EQ(U42,($C42,$G42,$K42,$O42,$S42,$W42),1)</f>
        <v>#VALUE!</v>
      </c>
      <c r="W42" s="17"/>
      <c r="X42" s="17" t="e">
        <f>_xlfn.RANK.EQ(W42,($C42,$G42,$K42,$O42,$S42,$W42,$AA42,$AE42,$AI42,$AM42),1)</f>
        <v>#N/A</v>
      </c>
      <c r="Y42" s="33" t="str">
        <f t="shared" si="3"/>
        <v/>
      </c>
      <c r="Z42" s="17" t="e">
        <f>_xlfn.RANK.EQ(Y42,($C42,$G42,$K42,$O42,$S42,$W42),1)</f>
        <v>#VALUE!</v>
      </c>
      <c r="AA42" s="17"/>
      <c r="AB42" s="17" t="e">
        <f>_xlfn.RANK.EQ(AA42,($C42,$G42,$K42,$O42,$S42,$W42,$AA42,$AE42,$AI42,$AM42),1)</f>
        <v>#N/A</v>
      </c>
      <c r="AC42" s="33" t="str">
        <f t="shared" si="7"/>
        <v/>
      </c>
      <c r="AD42" s="17" t="e">
        <f>_xlfn.RANK.EQ(AC42,($C42,$G42,$K42,$O42,$S42,$W42),1)</f>
        <v>#VALUE!</v>
      </c>
      <c r="AE42" s="17"/>
      <c r="AF42" s="17" t="e">
        <f>_xlfn.RANK.EQ(AE42,($C42,$G42,$K42,$O42,$S42,$W42,$AA42,$AE42,$AI42,$AM42),1)</f>
        <v>#N/A</v>
      </c>
      <c r="AG42" s="33" t="str">
        <f t="shared" si="8"/>
        <v/>
      </c>
      <c r="AH42" s="17" t="e">
        <f>_xlfn.RANK.EQ(AG42,($C42,$G42,$K42,$O42,$S42,$W42),1)</f>
        <v>#VALUE!</v>
      </c>
      <c r="AI42" s="17"/>
      <c r="AJ42" s="17" t="e">
        <f>_xlfn.RANK.EQ(AI42,($C42,$G42,$K42,$O42,$S42,$W42,$AA42,$AE42,$AI42,$AM42),1)</f>
        <v>#N/A</v>
      </c>
      <c r="AK42" s="33" t="str">
        <f t="shared" si="1"/>
        <v/>
      </c>
      <c r="AL42" s="17" t="e">
        <f>_xlfn.RANK.EQ(AK42,($C42,$G42,$K42,$O42,$S42,$W42),1)</f>
        <v>#VALUE!</v>
      </c>
      <c r="AM42" s="17"/>
      <c r="AN42" s="17" t="e">
        <f>_xlfn.RANK.EQ(AM42,($C42,$G42,$K42,$O42,$S42,$W42,$AA42,$AE42,$AI42,$AM42),1)</f>
        <v>#N/A</v>
      </c>
      <c r="AO42" s="33" t="str">
        <f t="shared" si="9"/>
        <v/>
      </c>
      <c r="AP42" s="17" t="e">
        <f>_xlfn.RANK.EQ(AO42,($C42,$G42,$K42,$O42,$S42,$W42),1)</f>
        <v>#VALUE!</v>
      </c>
    </row>
    <row r="43" spans="1:42" x14ac:dyDescent="0.3">
      <c r="A43" s="77"/>
      <c r="B43" s="31" t="s">
        <v>62</v>
      </c>
      <c r="C43" s="33"/>
      <c r="D43" s="17" t="e">
        <f>_xlfn.RANK.EQ(C43,($C43,$G43,$K43,$O43,$S43,$W43,$AB43,$AF43,$AJ43,$AN43),1)</f>
        <v>#N/A</v>
      </c>
      <c r="E43" s="33" t="str">
        <f t="shared" si="2"/>
        <v/>
      </c>
      <c r="F43" s="17" t="e">
        <f>_xlfn.RANK.EQ(E43,($C43,$G43,$K43,$O43,$S43,$W43),1)</f>
        <v>#VALUE!</v>
      </c>
      <c r="G43" s="17"/>
      <c r="H43" s="17" t="e">
        <f>_xlfn.RANK.EQ(G43,($C43,$G43,$K43,$O43,$S43,$W43,$AA43,$AE43,$AI43,$AM43),1)</f>
        <v>#N/A</v>
      </c>
      <c r="I43" s="33" t="str">
        <f t="shared" si="4"/>
        <v/>
      </c>
      <c r="J43" s="17" t="e">
        <f>_xlfn.RANK.EQ(I43,($C43,$G43,$K43,$O43,$S43,$W43),1)</f>
        <v>#VALUE!</v>
      </c>
      <c r="K43" s="17"/>
      <c r="L43" s="17" t="e">
        <f>_xlfn.RANK.EQ(K43,($C43,$G43,$K43,$O43,$S43,$W43,$AA43,$AE43,$AI43,$AM43),1)</f>
        <v>#N/A</v>
      </c>
      <c r="M43" s="33" t="str">
        <f t="shared" si="5"/>
        <v/>
      </c>
      <c r="N43" s="17" t="e">
        <f>_xlfn.RANK.EQ(M43,($C43,$G43,$K43,$O43,$S43,$W43),1)</f>
        <v>#VALUE!</v>
      </c>
      <c r="O43" s="17"/>
      <c r="P43" s="17" t="e">
        <f>_xlfn.RANK.EQ(O43,($C43,$G43,$K43,$O43,$S43,$W43,$AA43,$AE43,$AI43,$AM43),1)</f>
        <v>#N/A</v>
      </c>
      <c r="Q43" s="33" t="str">
        <f t="shared" si="6"/>
        <v/>
      </c>
      <c r="R43" s="17" t="e">
        <f>_xlfn.RANK.EQ(Q43,($C43,$G43,$K43,$O43,$S43,$W43),1)</f>
        <v>#VALUE!</v>
      </c>
      <c r="S43" s="17"/>
      <c r="T43" s="17" t="e">
        <f>_xlfn.RANK.EQ(S43,($C43,$G43,$K43,$O43,$S43,$W43,$AA43,$AE43,$AI43,$AM43),0)</f>
        <v>#N/A</v>
      </c>
      <c r="U43" s="33" t="str">
        <f t="shared" si="0"/>
        <v/>
      </c>
      <c r="V43" s="17" t="e">
        <f>_xlfn.RANK.EQ(U43,($C43,$G43,$K43,$O43,$S43,$W43),1)</f>
        <v>#VALUE!</v>
      </c>
      <c r="W43" s="17"/>
      <c r="X43" s="17" t="e">
        <f>_xlfn.RANK.EQ(W43,($C43,$G43,$K43,$O43,$S43,$W43,$AA43,$AE43,$AI43,$AM43),1)</f>
        <v>#N/A</v>
      </c>
      <c r="Y43" s="33" t="str">
        <f t="shared" si="3"/>
        <v/>
      </c>
      <c r="Z43" s="17" t="e">
        <f>_xlfn.RANK.EQ(Y43,($C43,$G43,$K43,$O43,$S43,$W43),1)</f>
        <v>#VALUE!</v>
      </c>
      <c r="AA43" s="17"/>
      <c r="AB43" s="17" t="e">
        <f>_xlfn.RANK.EQ(AA43,($C43,$G43,$K43,$O43,$S43,$W43,$AA43,$AE43,$AI43,$AM43),1)</f>
        <v>#N/A</v>
      </c>
      <c r="AC43" s="33" t="str">
        <f t="shared" si="7"/>
        <v/>
      </c>
      <c r="AD43" s="17" t="e">
        <f>_xlfn.RANK.EQ(AC43,($C43,$G43,$K43,$O43,$S43,$W43),1)</f>
        <v>#VALUE!</v>
      </c>
      <c r="AE43" s="17"/>
      <c r="AF43" s="17" t="e">
        <f>_xlfn.RANK.EQ(AE43,($C43,$G43,$K43,$O43,$S43,$W43,$AA43,$AE43,$AI43,$AM43),1)</f>
        <v>#N/A</v>
      </c>
      <c r="AG43" s="33" t="str">
        <f t="shared" si="8"/>
        <v/>
      </c>
      <c r="AH43" s="17" t="e">
        <f>_xlfn.RANK.EQ(AG43,($C43,$G43,$K43,$O43,$S43,$W43),1)</f>
        <v>#VALUE!</v>
      </c>
      <c r="AI43" s="17"/>
      <c r="AJ43" s="17" t="e">
        <f>_xlfn.RANK.EQ(AI43,($C43,$G43,$K43,$O43,$S43,$W43,$AA43,$AE43,$AI43,$AM43),1)</f>
        <v>#N/A</v>
      </c>
      <c r="AK43" s="33" t="str">
        <f t="shared" si="1"/>
        <v/>
      </c>
      <c r="AL43" s="17" t="e">
        <f>_xlfn.RANK.EQ(AK43,($C43,$G43,$K43,$O43,$S43,$W43),1)</f>
        <v>#VALUE!</v>
      </c>
      <c r="AM43" s="17"/>
      <c r="AN43" s="17" t="e">
        <f>_xlfn.RANK.EQ(AM43,($C43,$G43,$K43,$O43,$S43,$W43,$AA43,$AE43,$AI43,$AM43),1)</f>
        <v>#N/A</v>
      </c>
      <c r="AO43" s="33" t="str">
        <f t="shared" si="9"/>
        <v/>
      </c>
      <c r="AP43" s="17" t="e">
        <f>_xlfn.RANK.EQ(AO43,($C43,$G43,$K43,$O43,$S43,$W43),1)</f>
        <v>#VALUE!</v>
      </c>
    </row>
    <row r="44" spans="1:42" x14ac:dyDescent="0.3">
      <c r="A44" s="77"/>
      <c r="B44" s="31" t="s">
        <v>63</v>
      </c>
      <c r="C44" s="33"/>
      <c r="D44" s="17" t="e">
        <f>_xlfn.RANK.EQ(C44,($C44,$G44,$K44,$O44,$S44,$W44,$AB44,$AF44,$AJ44,$AN44),1)</f>
        <v>#N/A</v>
      </c>
      <c r="E44" s="33" t="str">
        <f t="shared" si="2"/>
        <v/>
      </c>
      <c r="F44" s="17" t="e">
        <f>_xlfn.RANK.EQ(E44,($C44,$G44,$K44,$O44,$S44,$W44),1)</f>
        <v>#VALUE!</v>
      </c>
      <c r="G44" s="17"/>
      <c r="H44" s="17" t="e">
        <f>_xlfn.RANK.EQ(G44,($C44,$G44,$K44,$O44,$S44,$W44,$AA44,$AE44,$AI44,$AM44),1)</f>
        <v>#N/A</v>
      </c>
      <c r="I44" s="33" t="str">
        <f t="shared" si="4"/>
        <v/>
      </c>
      <c r="J44" s="17" t="e">
        <f>_xlfn.RANK.EQ(I44,($C44,$G44,$K44,$O44,$S44,$W44),1)</f>
        <v>#VALUE!</v>
      </c>
      <c r="K44" s="17"/>
      <c r="L44" s="17" t="e">
        <f>_xlfn.RANK.EQ(K44,($C44,$G44,$K44,$O44,$S44,$W44,$AA44,$AE44,$AI44,$AM44),1)</f>
        <v>#N/A</v>
      </c>
      <c r="M44" s="33" t="str">
        <f t="shared" si="5"/>
        <v/>
      </c>
      <c r="N44" s="17" t="e">
        <f>_xlfn.RANK.EQ(M44,($C44,$G44,$K44,$O44,$S44,$W44),1)</f>
        <v>#VALUE!</v>
      </c>
      <c r="O44" s="17"/>
      <c r="P44" s="17" t="e">
        <f>_xlfn.RANK.EQ(O44,($C44,$G44,$K44,$O44,$S44,$W44,$AA44,$AE44,$AI44,$AM44),1)</f>
        <v>#N/A</v>
      </c>
      <c r="Q44" s="33" t="str">
        <f t="shared" si="6"/>
        <v/>
      </c>
      <c r="R44" s="17" t="e">
        <f>_xlfn.RANK.EQ(Q44,($C44,$G44,$K44,$O44,$S44,$W44),1)</f>
        <v>#VALUE!</v>
      </c>
      <c r="S44" s="17"/>
      <c r="T44" s="17" t="e">
        <f>_xlfn.RANK.EQ(S44,($C44,$G44,$K44,$O44,$S44,$W44,$AA44,$AE44,$AI44,$AM44),0)</f>
        <v>#N/A</v>
      </c>
      <c r="U44" s="33" t="str">
        <f t="shared" si="0"/>
        <v/>
      </c>
      <c r="V44" s="17" t="e">
        <f>_xlfn.RANK.EQ(U44,($C44,$G44,$K44,$O44,$S44,$W44),1)</f>
        <v>#VALUE!</v>
      </c>
      <c r="W44" s="17"/>
      <c r="X44" s="17" t="e">
        <f>_xlfn.RANK.EQ(W44,($C44,$G44,$K44,$O44,$S44,$W44,$AA44,$AE44,$AI44,$AM44),1)</f>
        <v>#N/A</v>
      </c>
      <c r="Y44" s="33" t="str">
        <f t="shared" si="3"/>
        <v/>
      </c>
      <c r="Z44" s="17" t="e">
        <f>_xlfn.RANK.EQ(Y44,($C44,$G44,$K44,$O44,$S44,$W44),1)</f>
        <v>#VALUE!</v>
      </c>
      <c r="AA44" s="17"/>
      <c r="AB44" s="17" t="e">
        <f>_xlfn.RANK.EQ(AA44,($C44,$G44,$K44,$O44,$S44,$W44,$AA44,$AE44,$AI44,$AM44),1)</f>
        <v>#N/A</v>
      </c>
      <c r="AC44" s="33" t="str">
        <f t="shared" si="7"/>
        <v/>
      </c>
      <c r="AD44" s="17" t="e">
        <f>_xlfn.RANK.EQ(AC44,($C44,$G44,$K44,$O44,$S44,$W44),1)</f>
        <v>#VALUE!</v>
      </c>
      <c r="AE44" s="17"/>
      <c r="AF44" s="17" t="e">
        <f>_xlfn.RANK.EQ(AE44,($C44,$G44,$K44,$O44,$S44,$W44,$AA44,$AE44,$AI44,$AM44),1)</f>
        <v>#N/A</v>
      </c>
      <c r="AG44" s="33" t="str">
        <f t="shared" si="8"/>
        <v/>
      </c>
      <c r="AH44" s="17" t="e">
        <f>_xlfn.RANK.EQ(AG44,($C44,$G44,$K44,$O44,$S44,$W44),1)</f>
        <v>#VALUE!</v>
      </c>
      <c r="AI44" s="17"/>
      <c r="AJ44" s="17" t="e">
        <f>_xlfn.RANK.EQ(AI44,($C44,$G44,$K44,$O44,$S44,$W44,$AA44,$AE44,$AI44,$AM44),1)</f>
        <v>#N/A</v>
      </c>
      <c r="AK44" s="33" t="str">
        <f t="shared" si="1"/>
        <v/>
      </c>
      <c r="AL44" s="17" t="e">
        <f>_xlfn.RANK.EQ(AK44,($C44,$G44,$K44,$O44,$S44,$W44),1)</f>
        <v>#VALUE!</v>
      </c>
      <c r="AM44" s="17"/>
      <c r="AN44" s="17" t="e">
        <f>_xlfn.RANK.EQ(AM44,($C44,$G44,$K44,$O44,$S44,$W44,$AA44,$AE44,$AI44,$AM44),1)</f>
        <v>#N/A</v>
      </c>
      <c r="AO44" s="33" t="str">
        <f t="shared" si="9"/>
        <v/>
      </c>
      <c r="AP44" s="17" t="e">
        <f>_xlfn.RANK.EQ(AO44,($C44,$G44,$K44,$O44,$S44,$W44),1)</f>
        <v>#VALUE!</v>
      </c>
    </row>
    <row r="45" spans="1:42" x14ac:dyDescent="0.3">
      <c r="A45" s="77">
        <v>12</v>
      </c>
      <c r="B45" s="31" t="s">
        <v>61</v>
      </c>
      <c r="C45" s="33"/>
      <c r="D45" s="17" t="e">
        <f>_xlfn.RANK.EQ(C45,($C45,$G45,$K45,$O45,$S45,$W45,$AB45,$AF45,$AJ45,$AN45),1)</f>
        <v>#N/A</v>
      </c>
      <c r="E45" s="33" t="str">
        <f t="shared" si="2"/>
        <v/>
      </c>
      <c r="F45" s="17" t="e">
        <f>_xlfn.RANK.EQ(E45,($C45,$G45,$K45,$O45,$S45,$W45),1)</f>
        <v>#VALUE!</v>
      </c>
      <c r="G45" s="17"/>
      <c r="H45" s="17" t="e">
        <f>_xlfn.RANK.EQ(G45,($C45,$G45,$K45,$O45,$S45,$W45,$AA45,$AE45,$AI45,$AM45),1)</f>
        <v>#N/A</v>
      </c>
      <c r="I45" s="33" t="str">
        <f t="shared" si="4"/>
        <v/>
      </c>
      <c r="J45" s="17" t="e">
        <f>_xlfn.RANK.EQ(I45,($C45,$G45,$K45,$O45,$S45,$W45),1)</f>
        <v>#VALUE!</v>
      </c>
      <c r="K45" s="17"/>
      <c r="L45" s="17" t="e">
        <f>_xlfn.RANK.EQ(K45,($C45,$G45,$K45,$O45,$S45,$W45,$AA45,$AE45,$AI45,$AM45),1)</f>
        <v>#N/A</v>
      </c>
      <c r="M45" s="33" t="str">
        <f t="shared" si="5"/>
        <v/>
      </c>
      <c r="N45" s="17" t="e">
        <f>_xlfn.RANK.EQ(M45,($C45,$G45,$K45,$O45,$S45,$W45),1)</f>
        <v>#VALUE!</v>
      </c>
      <c r="O45" s="17"/>
      <c r="P45" s="17" t="e">
        <f>_xlfn.RANK.EQ(O45,($C45,$G45,$K45,$O45,$S45,$W45,$AA45,$AE45,$AI45,$AM45),1)</f>
        <v>#N/A</v>
      </c>
      <c r="Q45" s="33" t="str">
        <f t="shared" si="6"/>
        <v/>
      </c>
      <c r="R45" s="17" t="e">
        <f>_xlfn.RANK.EQ(Q45,($C45,$G45,$K45,$O45,$S45,$W45),1)</f>
        <v>#VALUE!</v>
      </c>
      <c r="S45" s="17"/>
      <c r="T45" s="17" t="e">
        <f>_xlfn.RANK.EQ(S45,($C45,$G45,$K45,$O45,$S45,$W45,$AA45,$AE45,$AI45,$AM45),0)</f>
        <v>#N/A</v>
      </c>
      <c r="U45" s="33" t="str">
        <f t="shared" si="0"/>
        <v/>
      </c>
      <c r="V45" s="17" t="e">
        <f>_xlfn.RANK.EQ(U45,($C45,$G45,$K45,$O45,$S45,$W45),1)</f>
        <v>#VALUE!</v>
      </c>
      <c r="W45" s="17"/>
      <c r="X45" s="17" t="e">
        <f>_xlfn.RANK.EQ(W45,($C45,$G45,$K45,$O45,$S45,$W45,$AA45,$AE45,$AI45,$AM45),1)</f>
        <v>#N/A</v>
      </c>
      <c r="Y45" s="33" t="str">
        <f t="shared" si="3"/>
        <v/>
      </c>
      <c r="Z45" s="17" t="e">
        <f>_xlfn.RANK.EQ(Y45,($C45,$G45,$K45,$O45,$S45,$W45),1)</f>
        <v>#VALUE!</v>
      </c>
      <c r="AA45" s="17"/>
      <c r="AB45" s="17" t="e">
        <f>_xlfn.RANK.EQ(AA45,($C45,$G45,$K45,$O45,$S45,$W45,$AA45,$AE45,$AI45,$AM45),1)</f>
        <v>#N/A</v>
      </c>
      <c r="AC45" s="33" t="str">
        <f t="shared" si="7"/>
        <v/>
      </c>
      <c r="AD45" s="17" t="e">
        <f>_xlfn.RANK.EQ(AC45,($C45,$G45,$K45,$O45,$S45,$W45),1)</f>
        <v>#VALUE!</v>
      </c>
      <c r="AE45" s="17"/>
      <c r="AF45" s="17" t="e">
        <f>_xlfn.RANK.EQ(AE45,($C45,$G45,$K45,$O45,$S45,$W45,$AA45,$AE45,$AI45,$AM45),1)</f>
        <v>#N/A</v>
      </c>
      <c r="AG45" s="33" t="str">
        <f t="shared" si="8"/>
        <v/>
      </c>
      <c r="AH45" s="17" t="e">
        <f>_xlfn.RANK.EQ(AG45,($C45,$G45,$K45,$O45,$S45,$W45),1)</f>
        <v>#VALUE!</v>
      </c>
      <c r="AI45" s="17"/>
      <c r="AJ45" s="17" t="e">
        <f>_xlfn.RANK.EQ(AI45,($C45,$G45,$K45,$O45,$S45,$W45,$AA45,$AE45,$AI45,$AM45),1)</f>
        <v>#N/A</v>
      </c>
      <c r="AK45" s="33" t="str">
        <f t="shared" si="1"/>
        <v/>
      </c>
      <c r="AL45" s="17" t="e">
        <f>_xlfn.RANK.EQ(AK45,($C45,$G45,$K45,$O45,$S45,$W45),1)</f>
        <v>#VALUE!</v>
      </c>
      <c r="AM45" s="17"/>
      <c r="AN45" s="17" t="e">
        <f>_xlfn.RANK.EQ(AM45,($C45,$G45,$K45,$O45,$S45,$W45,$AA45,$AE45,$AI45,$AM45),1)</f>
        <v>#N/A</v>
      </c>
      <c r="AO45" s="33" t="str">
        <f t="shared" si="9"/>
        <v/>
      </c>
      <c r="AP45" s="17" t="e">
        <f>_xlfn.RANK.EQ(AO45,($C45,$G45,$K45,$O45,$S45,$W45),1)</f>
        <v>#VALUE!</v>
      </c>
    </row>
    <row r="46" spans="1:42" x14ac:dyDescent="0.3">
      <c r="A46" s="77"/>
      <c r="B46" s="31" t="s">
        <v>62</v>
      </c>
      <c r="C46" s="33"/>
      <c r="D46" s="17" t="e">
        <f>_xlfn.RANK.EQ(C46,($C46,$G46,$K46,$O46,$S46,$W46,$AB46,$AF46,$AJ46,$AN46),1)</f>
        <v>#N/A</v>
      </c>
      <c r="E46" s="33" t="str">
        <f t="shared" si="2"/>
        <v/>
      </c>
      <c r="F46" s="17" t="e">
        <f>_xlfn.RANK.EQ(E46,($C46,$G46,$K46,$O46,$S46,$W46),1)</f>
        <v>#VALUE!</v>
      </c>
      <c r="G46" s="17"/>
      <c r="H46" s="17" t="e">
        <f>_xlfn.RANK.EQ(G46,($C46,$G46,$K46,$O46,$S46,$W46,$AA46,$AE46,$AI46,$AM46),1)</f>
        <v>#N/A</v>
      </c>
      <c r="I46" s="33" t="str">
        <f t="shared" si="4"/>
        <v/>
      </c>
      <c r="J46" s="17" t="e">
        <f>_xlfn.RANK.EQ(I46,($C46,$G46,$K46,$O46,$S46,$W46),1)</f>
        <v>#VALUE!</v>
      </c>
      <c r="K46" s="17"/>
      <c r="L46" s="17" t="e">
        <f>_xlfn.RANK.EQ(K46,($C46,$G46,$K46,$O46,$S46,$W46,$AA46,$AE46,$AI46,$AM46),1)</f>
        <v>#N/A</v>
      </c>
      <c r="M46" s="33" t="str">
        <f t="shared" si="5"/>
        <v/>
      </c>
      <c r="N46" s="17" t="e">
        <f>_xlfn.RANK.EQ(M46,($C46,$G46,$K46,$O46,$S46,$W46),1)</f>
        <v>#VALUE!</v>
      </c>
      <c r="O46" s="17"/>
      <c r="P46" s="17" t="e">
        <f>_xlfn.RANK.EQ(O46,($C46,$G46,$K46,$O46,$S46,$W46,$AA46,$AE46,$AI46,$AM46),1)</f>
        <v>#N/A</v>
      </c>
      <c r="Q46" s="33" t="str">
        <f t="shared" si="6"/>
        <v/>
      </c>
      <c r="R46" s="17" t="e">
        <f>_xlfn.RANK.EQ(Q46,($C46,$G46,$K46,$O46,$S46,$W46),1)</f>
        <v>#VALUE!</v>
      </c>
      <c r="S46" s="17"/>
      <c r="T46" s="17" t="e">
        <f>_xlfn.RANK.EQ(S46,($C46,$G46,$K46,$O46,$S46,$W46,$AA46,$AE46,$AI46,$AM46),0)</f>
        <v>#N/A</v>
      </c>
      <c r="U46" s="33" t="str">
        <f t="shared" si="0"/>
        <v/>
      </c>
      <c r="V46" s="17" t="e">
        <f>_xlfn.RANK.EQ(U46,($C46,$G46,$K46,$O46,$S46,$W46),1)</f>
        <v>#VALUE!</v>
      </c>
      <c r="W46" s="17"/>
      <c r="X46" s="17" t="e">
        <f>_xlfn.RANK.EQ(W46,($C46,$G46,$K46,$O46,$S46,$W46,$AA46,$AE46,$AI46,$AM46),1)</f>
        <v>#N/A</v>
      </c>
      <c r="Y46" s="33" t="str">
        <f t="shared" si="3"/>
        <v/>
      </c>
      <c r="Z46" s="17" t="e">
        <f>_xlfn.RANK.EQ(Y46,($C46,$G46,$K46,$O46,$S46,$W46),1)</f>
        <v>#VALUE!</v>
      </c>
      <c r="AA46" s="17"/>
      <c r="AB46" s="17" t="e">
        <f>_xlfn.RANK.EQ(AA46,($C46,$G46,$K46,$O46,$S46,$W46,$AA46,$AE46,$AI46,$AM46),1)</f>
        <v>#N/A</v>
      </c>
      <c r="AC46" s="33" t="str">
        <f t="shared" si="7"/>
        <v/>
      </c>
      <c r="AD46" s="17" t="e">
        <f>_xlfn.RANK.EQ(AC46,($C46,$G46,$K46,$O46,$S46,$W46),1)</f>
        <v>#VALUE!</v>
      </c>
      <c r="AE46" s="17"/>
      <c r="AF46" s="17" t="e">
        <f>_xlfn.RANK.EQ(AE46,($C46,$G46,$K46,$O46,$S46,$W46,$AA46,$AE46,$AI46,$AM46),1)</f>
        <v>#N/A</v>
      </c>
      <c r="AG46" s="33" t="str">
        <f t="shared" si="8"/>
        <v/>
      </c>
      <c r="AH46" s="17" t="e">
        <f>_xlfn.RANK.EQ(AG46,($C46,$G46,$K46,$O46,$S46,$W46),1)</f>
        <v>#VALUE!</v>
      </c>
      <c r="AI46" s="17"/>
      <c r="AJ46" s="17" t="e">
        <f>_xlfn.RANK.EQ(AI46,($C46,$G46,$K46,$O46,$S46,$W46,$AA46,$AE46,$AI46,$AM46),1)</f>
        <v>#N/A</v>
      </c>
      <c r="AK46" s="33" t="str">
        <f t="shared" si="1"/>
        <v/>
      </c>
      <c r="AL46" s="17" t="e">
        <f>_xlfn.RANK.EQ(AK46,($C46,$G46,$K46,$O46,$S46,$W46),1)</f>
        <v>#VALUE!</v>
      </c>
      <c r="AM46" s="17"/>
      <c r="AN46" s="17" t="e">
        <f>_xlfn.RANK.EQ(AM46,($C46,$G46,$K46,$O46,$S46,$W46,$AA46,$AE46,$AI46,$AM46),1)</f>
        <v>#N/A</v>
      </c>
      <c r="AO46" s="33" t="str">
        <f t="shared" si="9"/>
        <v/>
      </c>
      <c r="AP46" s="17" t="e">
        <f>_xlfn.RANK.EQ(AO46,($C46,$G46,$K46,$O46,$S46,$W46),1)</f>
        <v>#VALUE!</v>
      </c>
    </row>
    <row r="47" spans="1:42" x14ac:dyDescent="0.3">
      <c r="A47" s="77"/>
      <c r="B47" s="31" t="s">
        <v>63</v>
      </c>
      <c r="C47" s="33"/>
      <c r="D47" s="17" t="e">
        <f>_xlfn.RANK.EQ(C47,($C47,$G47,$K47,$O47,$S47,$W47,$AB47,$AF47,$AJ47,$AN47),1)</f>
        <v>#N/A</v>
      </c>
      <c r="E47" s="33" t="str">
        <f t="shared" si="2"/>
        <v/>
      </c>
      <c r="F47" s="17" t="e">
        <f>_xlfn.RANK.EQ(E47,($C47,$G47,$K47,$O47,$S47,$W47),1)</f>
        <v>#VALUE!</v>
      </c>
      <c r="G47" s="17"/>
      <c r="H47" s="17" t="e">
        <f>_xlfn.RANK.EQ(G47,($C47,$G47,$K47,$O47,$S47,$W47,$AA47,$AE47,$AI47,$AM47),1)</f>
        <v>#N/A</v>
      </c>
      <c r="I47" s="33" t="str">
        <f t="shared" si="4"/>
        <v/>
      </c>
      <c r="J47" s="17" t="e">
        <f>_xlfn.RANK.EQ(I47,($C47,$G47,$K47,$O47,$S47,$W47),1)</f>
        <v>#VALUE!</v>
      </c>
      <c r="K47" s="17"/>
      <c r="L47" s="17" t="e">
        <f>_xlfn.RANK.EQ(K47,($C47,$G47,$K47,$O47,$S47,$W47,$AA47,$AE47,$AI47,$AM47),1)</f>
        <v>#N/A</v>
      </c>
      <c r="M47" s="33" t="str">
        <f t="shared" si="5"/>
        <v/>
      </c>
      <c r="N47" s="17" t="e">
        <f>_xlfn.RANK.EQ(M47,($C47,$G47,$K47,$O47,$S47,$W47),1)</f>
        <v>#VALUE!</v>
      </c>
      <c r="O47" s="17"/>
      <c r="P47" s="17" t="e">
        <f>_xlfn.RANK.EQ(O47,($C47,$G47,$K47,$O47,$S47,$W47,$AA47,$AE47,$AI47,$AM47),1)</f>
        <v>#N/A</v>
      </c>
      <c r="Q47" s="33" t="str">
        <f t="shared" si="6"/>
        <v/>
      </c>
      <c r="R47" s="17" t="e">
        <f>_xlfn.RANK.EQ(Q47,($C47,$G47,$K47,$O47,$S47,$W47),1)</f>
        <v>#VALUE!</v>
      </c>
      <c r="S47" s="17"/>
      <c r="T47" s="17" t="e">
        <f>_xlfn.RANK.EQ(S47,($C47,$G47,$K47,$O47,$S47,$W47,$AA47,$AE47,$AI47,$AM47),0)</f>
        <v>#N/A</v>
      </c>
      <c r="U47" s="33" t="str">
        <f t="shared" si="0"/>
        <v/>
      </c>
      <c r="V47" s="17" t="e">
        <f>_xlfn.RANK.EQ(U47,($C47,$G47,$K47,$O47,$S47,$W47),1)</f>
        <v>#VALUE!</v>
      </c>
      <c r="W47" s="17"/>
      <c r="X47" s="17" t="e">
        <f>_xlfn.RANK.EQ(W47,($C47,$G47,$K47,$O47,$S47,$W47,$AA47,$AE47,$AI47,$AM47),1)</f>
        <v>#N/A</v>
      </c>
      <c r="Y47" s="33" t="str">
        <f t="shared" si="3"/>
        <v/>
      </c>
      <c r="Z47" s="17" t="e">
        <f>_xlfn.RANK.EQ(Y47,($C47,$G47,$K47,$O47,$S47,$W47),1)</f>
        <v>#VALUE!</v>
      </c>
      <c r="AA47" s="17"/>
      <c r="AB47" s="17" t="e">
        <f>_xlfn.RANK.EQ(AA47,($C47,$G47,$K47,$O47,$S47,$W47,$AA47,$AE47,$AI47,$AM47),1)</f>
        <v>#N/A</v>
      </c>
      <c r="AC47" s="33" t="str">
        <f t="shared" si="7"/>
        <v/>
      </c>
      <c r="AD47" s="17" t="e">
        <f>_xlfn.RANK.EQ(AC47,($C47,$G47,$K47,$O47,$S47,$W47),1)</f>
        <v>#VALUE!</v>
      </c>
      <c r="AE47" s="17"/>
      <c r="AF47" s="17" t="e">
        <f>_xlfn.RANK.EQ(AE47,($C47,$G47,$K47,$O47,$S47,$W47,$AA47,$AE47,$AI47,$AM47),1)</f>
        <v>#N/A</v>
      </c>
      <c r="AG47" s="33" t="str">
        <f t="shared" si="8"/>
        <v/>
      </c>
      <c r="AH47" s="17" t="e">
        <f>_xlfn.RANK.EQ(AG47,($C47,$G47,$K47,$O47,$S47,$W47),1)</f>
        <v>#VALUE!</v>
      </c>
      <c r="AI47" s="17"/>
      <c r="AJ47" s="17" t="e">
        <f>_xlfn.RANK.EQ(AI47,($C47,$G47,$K47,$O47,$S47,$W47,$AA47,$AE47,$AI47,$AM47),1)</f>
        <v>#N/A</v>
      </c>
      <c r="AK47" s="33" t="str">
        <f t="shared" si="1"/>
        <v/>
      </c>
      <c r="AL47" s="17" t="e">
        <f>_xlfn.RANK.EQ(AK47,($C47,$G47,$K47,$O47,$S47,$W47),1)</f>
        <v>#VALUE!</v>
      </c>
      <c r="AM47" s="17"/>
      <c r="AN47" s="17" t="e">
        <f>_xlfn.RANK.EQ(AM47,($C47,$G47,$K47,$O47,$S47,$W47,$AA47,$AE47,$AI47,$AM47),1)</f>
        <v>#N/A</v>
      </c>
      <c r="AO47" s="33" t="str">
        <f t="shared" si="9"/>
        <v/>
      </c>
      <c r="AP47" s="17" t="e">
        <f>_xlfn.RANK.EQ(AO47,($C47,$G47,$K47,$O47,$S47,$W47),1)</f>
        <v>#VALUE!</v>
      </c>
    </row>
    <row r="48" spans="1:42" x14ac:dyDescent="0.3">
      <c r="A48" s="77">
        <v>13</v>
      </c>
      <c r="B48" s="31" t="s">
        <v>61</v>
      </c>
      <c r="C48" s="33"/>
      <c r="D48" s="17" t="e">
        <f>_xlfn.RANK.EQ(C48,($C48,$G48,$K48,$O48,$S48,$W48,$AB48,$AF48,$AJ48,$AN48),1)</f>
        <v>#N/A</v>
      </c>
      <c r="E48" s="33" t="str">
        <f t="shared" si="2"/>
        <v/>
      </c>
      <c r="F48" s="17" t="e">
        <f>_xlfn.RANK.EQ(E48,($C48,$G48,$K48,$O48,$S48,$W48),1)</f>
        <v>#VALUE!</v>
      </c>
      <c r="G48" s="17"/>
      <c r="H48" s="17" t="e">
        <f>_xlfn.RANK.EQ(G48,($C48,$G48,$K48,$O48,$S48,$W48,$AA48,$AE48,$AI48,$AM48),1)</f>
        <v>#N/A</v>
      </c>
      <c r="I48" s="33" t="str">
        <f t="shared" si="4"/>
        <v/>
      </c>
      <c r="J48" s="17" t="e">
        <f>_xlfn.RANK.EQ(I48,($C48,$G48,$K48,$O48,$S48,$W48),1)</f>
        <v>#VALUE!</v>
      </c>
      <c r="K48" s="17"/>
      <c r="L48" s="17" t="e">
        <f>_xlfn.RANK.EQ(K48,($C48,$G48,$K48,$O48,$S48,$W48,$AA48,$AE48,$AI48,$AM48),1)</f>
        <v>#N/A</v>
      </c>
      <c r="M48" s="33" t="str">
        <f t="shared" si="5"/>
        <v/>
      </c>
      <c r="N48" s="17" t="e">
        <f>_xlfn.RANK.EQ(M48,($C48,$G48,$K48,$O48,$S48,$W48),1)</f>
        <v>#VALUE!</v>
      </c>
      <c r="O48" s="17"/>
      <c r="P48" s="17" t="e">
        <f>_xlfn.RANK.EQ(O48,($C48,$G48,$K48,$O48,$S48,$W48,$AA48,$AE48,$AI48,$AM48),1)</f>
        <v>#N/A</v>
      </c>
      <c r="Q48" s="33" t="str">
        <f t="shared" si="6"/>
        <v/>
      </c>
      <c r="R48" s="17" t="e">
        <f>_xlfn.RANK.EQ(Q48,($C48,$G48,$K48,$O48,$S48,$W48),1)</f>
        <v>#VALUE!</v>
      </c>
      <c r="S48" s="17"/>
      <c r="T48" s="17" t="e">
        <f>_xlfn.RANK.EQ(S48,($C48,$G48,$K48,$O48,$S48,$W48,$AA48,$AE48,$AI48,$AM48),0)</f>
        <v>#N/A</v>
      </c>
      <c r="U48" s="33" t="str">
        <f t="shared" si="0"/>
        <v/>
      </c>
      <c r="V48" s="17" t="e">
        <f>_xlfn.RANK.EQ(U48,($C48,$G48,$K48,$O48,$S48,$W48),1)</f>
        <v>#VALUE!</v>
      </c>
      <c r="W48" s="17"/>
      <c r="X48" s="17" t="e">
        <f>_xlfn.RANK.EQ(W48,($C48,$G48,$K48,$O48,$S48,$W48,$AA48,$AE48,$AI48,$AM48),1)</f>
        <v>#N/A</v>
      </c>
      <c r="Y48" s="33" t="str">
        <f t="shared" si="3"/>
        <v/>
      </c>
      <c r="Z48" s="17" t="e">
        <f>_xlfn.RANK.EQ(Y48,($C48,$G48,$K48,$O48,$S48,$W48),1)</f>
        <v>#VALUE!</v>
      </c>
      <c r="AA48" s="17"/>
      <c r="AB48" s="17" t="e">
        <f>_xlfn.RANK.EQ(AA48,($C48,$G48,$K48,$O48,$S48,$W48,$AA48,$AE48,$AI48,$AM48),1)</f>
        <v>#N/A</v>
      </c>
      <c r="AC48" s="33" t="str">
        <f t="shared" si="7"/>
        <v/>
      </c>
      <c r="AD48" s="17" t="e">
        <f>_xlfn.RANK.EQ(AC48,($C48,$G48,$K48,$O48,$S48,$W48),1)</f>
        <v>#VALUE!</v>
      </c>
      <c r="AE48" s="17"/>
      <c r="AF48" s="17" t="e">
        <f>_xlfn.RANK.EQ(AE48,($C48,$G48,$K48,$O48,$S48,$W48,$AA48,$AE48,$AI48,$AM48),1)</f>
        <v>#N/A</v>
      </c>
      <c r="AG48" s="33" t="str">
        <f t="shared" si="8"/>
        <v/>
      </c>
      <c r="AH48" s="17" t="e">
        <f>_xlfn.RANK.EQ(AG48,($C48,$G48,$K48,$O48,$S48,$W48),1)</f>
        <v>#VALUE!</v>
      </c>
      <c r="AI48" s="17"/>
      <c r="AJ48" s="17" t="e">
        <f>_xlfn.RANK.EQ(AI48,($C48,$G48,$K48,$O48,$S48,$W48,$AA48,$AE48,$AI48,$AM48),1)</f>
        <v>#N/A</v>
      </c>
      <c r="AK48" s="33" t="str">
        <f t="shared" si="1"/>
        <v/>
      </c>
      <c r="AL48" s="17" t="e">
        <f>_xlfn.RANK.EQ(AK48,($C48,$G48,$K48,$O48,$S48,$W48),1)</f>
        <v>#VALUE!</v>
      </c>
      <c r="AM48" s="17"/>
      <c r="AN48" s="17" t="e">
        <f>_xlfn.RANK.EQ(AM48,($C48,$G48,$K48,$O48,$S48,$W48,$AA48,$AE48,$AI48,$AM48),1)</f>
        <v>#N/A</v>
      </c>
      <c r="AO48" s="33" t="str">
        <f t="shared" si="9"/>
        <v/>
      </c>
      <c r="AP48" s="17" t="e">
        <f>_xlfn.RANK.EQ(AO48,($C48,$G48,$K48,$O48,$S48,$W48),1)</f>
        <v>#VALUE!</v>
      </c>
    </row>
    <row r="49" spans="1:42" x14ac:dyDescent="0.3">
      <c r="A49" s="77"/>
      <c r="B49" s="31" t="s">
        <v>62</v>
      </c>
      <c r="C49" s="33"/>
      <c r="D49" s="17" t="e">
        <f>_xlfn.RANK.EQ(C49,($C49,$G49,$K49,$O49,$S49,$W49,$AB49,$AF49,$AJ49,$AN49),1)</f>
        <v>#N/A</v>
      </c>
      <c r="E49" s="33" t="str">
        <f t="shared" si="2"/>
        <v/>
      </c>
      <c r="F49" s="17" t="e">
        <f>_xlfn.RANK.EQ(E49,($C49,$G49,$K49,$O49,$S49,$W49),1)</f>
        <v>#VALUE!</v>
      </c>
      <c r="G49" s="17"/>
      <c r="H49" s="17" t="e">
        <f>_xlfn.RANK.EQ(G49,($C49,$G49,$K49,$O49,$S49,$W49,$AA49,$AE49,$AI49,$AM49),1)</f>
        <v>#N/A</v>
      </c>
      <c r="I49" s="33" t="str">
        <f t="shared" si="4"/>
        <v/>
      </c>
      <c r="J49" s="17" t="e">
        <f>_xlfn.RANK.EQ(I49,($C49,$G49,$K49,$O49,$S49,$W49),1)</f>
        <v>#VALUE!</v>
      </c>
      <c r="K49" s="17"/>
      <c r="L49" s="17" t="e">
        <f>_xlfn.RANK.EQ(K49,($C49,$G49,$K49,$O49,$S49,$W49,$AA49,$AE49,$AI49,$AM49),1)</f>
        <v>#N/A</v>
      </c>
      <c r="M49" s="33" t="str">
        <f t="shared" si="5"/>
        <v/>
      </c>
      <c r="N49" s="17" t="e">
        <f>_xlfn.RANK.EQ(M49,($C49,$G49,$K49,$O49,$S49,$W49),1)</f>
        <v>#VALUE!</v>
      </c>
      <c r="O49" s="17"/>
      <c r="P49" s="17" t="e">
        <f>_xlfn.RANK.EQ(O49,($C49,$G49,$K49,$O49,$S49,$W49,$AA49,$AE49,$AI49,$AM49),1)</f>
        <v>#N/A</v>
      </c>
      <c r="Q49" s="33" t="str">
        <f t="shared" si="6"/>
        <v/>
      </c>
      <c r="R49" s="17" t="e">
        <f>_xlfn.RANK.EQ(Q49,($C49,$G49,$K49,$O49,$S49,$W49),1)</f>
        <v>#VALUE!</v>
      </c>
      <c r="S49" s="17"/>
      <c r="T49" s="17" t="e">
        <f>_xlfn.RANK.EQ(S49,($C49,$G49,$K49,$O49,$S49,$W49,$AA49,$AE49,$AI49,$AM49),0)</f>
        <v>#N/A</v>
      </c>
      <c r="U49" s="33" t="str">
        <f t="shared" si="0"/>
        <v/>
      </c>
      <c r="V49" s="17" t="e">
        <f>_xlfn.RANK.EQ(U49,($C49,$G49,$K49,$O49,$S49,$W49),1)</f>
        <v>#VALUE!</v>
      </c>
      <c r="W49" s="17"/>
      <c r="X49" s="17" t="e">
        <f>_xlfn.RANK.EQ(W49,($C49,$G49,$K49,$O49,$S49,$W49,$AA49,$AE49,$AI49,$AM49),1)</f>
        <v>#N/A</v>
      </c>
      <c r="Y49" s="33" t="str">
        <f t="shared" si="3"/>
        <v/>
      </c>
      <c r="Z49" s="17" t="e">
        <f>_xlfn.RANK.EQ(Y49,($C49,$G49,$K49,$O49,$S49,$W49),1)</f>
        <v>#VALUE!</v>
      </c>
      <c r="AA49" s="17"/>
      <c r="AB49" s="17" t="e">
        <f>_xlfn.RANK.EQ(AA49,($C49,$G49,$K49,$O49,$S49,$W49,$AA49,$AE49,$AI49,$AM49),1)</f>
        <v>#N/A</v>
      </c>
      <c r="AC49" s="33" t="str">
        <f t="shared" si="7"/>
        <v/>
      </c>
      <c r="AD49" s="17" t="e">
        <f>_xlfn.RANK.EQ(AC49,($C49,$G49,$K49,$O49,$S49,$W49),1)</f>
        <v>#VALUE!</v>
      </c>
      <c r="AE49" s="17"/>
      <c r="AF49" s="17" t="e">
        <f>_xlfn.RANK.EQ(AE49,($C49,$G49,$K49,$O49,$S49,$W49,$AA49,$AE49,$AI49,$AM49),1)</f>
        <v>#N/A</v>
      </c>
      <c r="AG49" s="33" t="str">
        <f t="shared" si="8"/>
        <v/>
      </c>
      <c r="AH49" s="17" t="e">
        <f>_xlfn.RANK.EQ(AG49,($C49,$G49,$K49,$O49,$S49,$W49),1)</f>
        <v>#VALUE!</v>
      </c>
      <c r="AI49" s="17"/>
      <c r="AJ49" s="17" t="e">
        <f>_xlfn.RANK.EQ(AI49,($C49,$G49,$K49,$O49,$S49,$W49,$AA49,$AE49,$AI49,$AM49),1)</f>
        <v>#N/A</v>
      </c>
      <c r="AK49" s="33" t="str">
        <f t="shared" si="1"/>
        <v/>
      </c>
      <c r="AL49" s="17" t="e">
        <f>_xlfn.RANK.EQ(AK49,($C49,$G49,$K49,$O49,$S49,$W49),1)</f>
        <v>#VALUE!</v>
      </c>
      <c r="AM49" s="17"/>
      <c r="AN49" s="17" t="e">
        <f>_xlfn.RANK.EQ(AM49,($C49,$G49,$K49,$O49,$S49,$W49,$AA49,$AE49,$AI49,$AM49),1)</f>
        <v>#N/A</v>
      </c>
      <c r="AO49" s="33" t="str">
        <f t="shared" si="9"/>
        <v/>
      </c>
      <c r="AP49" s="17" t="e">
        <f>_xlfn.RANK.EQ(AO49,($C49,$G49,$K49,$O49,$S49,$W49),1)</f>
        <v>#VALUE!</v>
      </c>
    </row>
    <row r="50" spans="1:42" x14ac:dyDescent="0.3">
      <c r="A50" s="77"/>
      <c r="B50" s="31" t="s">
        <v>63</v>
      </c>
      <c r="C50" s="33"/>
      <c r="D50" s="17" t="e">
        <f>_xlfn.RANK.EQ(C50,($C50,$G50,$K50,$O50,$S50,$W50,$AB50,$AF50,$AJ50,$AN50),1)</f>
        <v>#N/A</v>
      </c>
      <c r="E50" s="33" t="str">
        <f t="shared" si="2"/>
        <v/>
      </c>
      <c r="F50" s="17" t="e">
        <f>_xlfn.RANK.EQ(E50,($C50,$G50,$K50,$O50,$S50,$W50),1)</f>
        <v>#VALUE!</v>
      </c>
      <c r="G50" s="17"/>
      <c r="H50" s="17" t="e">
        <f>_xlfn.RANK.EQ(G50,($C50,$G50,$K50,$O50,$S50,$W50,$AA50,$AE50,$AI50,$AM50),1)</f>
        <v>#N/A</v>
      </c>
      <c r="I50" s="33" t="str">
        <f t="shared" si="4"/>
        <v/>
      </c>
      <c r="J50" s="17" t="e">
        <f>_xlfn.RANK.EQ(I50,($C50,$G50,$K50,$O50,$S50,$W50),1)</f>
        <v>#VALUE!</v>
      </c>
      <c r="K50" s="17"/>
      <c r="L50" s="17" t="e">
        <f>_xlfn.RANK.EQ(K50,($C50,$G50,$K50,$O50,$S50,$W50,$AA50,$AE50,$AI50,$AM50),1)</f>
        <v>#N/A</v>
      </c>
      <c r="M50" s="33" t="str">
        <f t="shared" si="5"/>
        <v/>
      </c>
      <c r="N50" s="17" t="e">
        <f>_xlfn.RANK.EQ(M50,($C50,$G50,$K50,$O50,$S50,$W50),1)</f>
        <v>#VALUE!</v>
      </c>
      <c r="O50" s="17"/>
      <c r="P50" s="17" t="e">
        <f>_xlfn.RANK.EQ(O50,($C50,$G50,$K50,$O50,$S50,$W50,$AA50,$AE50,$AI50,$AM50),1)</f>
        <v>#N/A</v>
      </c>
      <c r="Q50" s="33" t="str">
        <f t="shared" si="6"/>
        <v/>
      </c>
      <c r="R50" s="17" t="e">
        <f>_xlfn.RANK.EQ(Q50,($C50,$G50,$K50,$O50,$S50,$W50),1)</f>
        <v>#VALUE!</v>
      </c>
      <c r="S50" s="17"/>
      <c r="T50" s="17" t="e">
        <f>_xlfn.RANK.EQ(S50,($C50,$G50,$K50,$O50,$S50,$W50,$AA50,$AE50,$AI50,$AM50),0)</f>
        <v>#N/A</v>
      </c>
      <c r="U50" s="33" t="str">
        <f t="shared" si="0"/>
        <v/>
      </c>
      <c r="V50" s="17" t="e">
        <f>_xlfn.RANK.EQ(U50,($C50,$G50,$K50,$O50,$S50,$W50),1)</f>
        <v>#VALUE!</v>
      </c>
      <c r="W50" s="17"/>
      <c r="X50" s="17" t="e">
        <f>_xlfn.RANK.EQ(W50,($C50,$G50,$K50,$O50,$S50,$W50,$AA50,$AE50,$AI50,$AM50),1)</f>
        <v>#N/A</v>
      </c>
      <c r="Y50" s="33" t="str">
        <f t="shared" si="3"/>
        <v/>
      </c>
      <c r="Z50" s="17" t="e">
        <f>_xlfn.RANK.EQ(Y50,($C50,$G50,$K50,$O50,$S50,$W50),1)</f>
        <v>#VALUE!</v>
      </c>
      <c r="AA50" s="17"/>
      <c r="AB50" s="17" t="e">
        <f>_xlfn.RANK.EQ(AA50,($C50,$G50,$K50,$O50,$S50,$W50,$AA50,$AE50,$AI50,$AM50),1)</f>
        <v>#N/A</v>
      </c>
      <c r="AC50" s="33" t="str">
        <f t="shared" si="7"/>
        <v/>
      </c>
      <c r="AD50" s="17" t="e">
        <f>_xlfn.RANK.EQ(AC50,($C50,$G50,$K50,$O50,$S50,$W50),1)</f>
        <v>#VALUE!</v>
      </c>
      <c r="AE50" s="17"/>
      <c r="AF50" s="17" t="e">
        <f>_xlfn.RANK.EQ(AE50,($C50,$G50,$K50,$O50,$S50,$W50,$AA50,$AE50,$AI50,$AM50),1)</f>
        <v>#N/A</v>
      </c>
      <c r="AG50" s="33" t="str">
        <f t="shared" si="8"/>
        <v/>
      </c>
      <c r="AH50" s="17" t="e">
        <f>_xlfn.RANK.EQ(AG50,($C50,$G50,$K50,$O50,$S50,$W50),1)</f>
        <v>#VALUE!</v>
      </c>
      <c r="AI50" s="17"/>
      <c r="AJ50" s="17" t="e">
        <f>_xlfn.RANK.EQ(AI50,($C50,$G50,$K50,$O50,$S50,$W50,$AA50,$AE50,$AI50,$AM50),1)</f>
        <v>#N/A</v>
      </c>
      <c r="AK50" s="33" t="str">
        <f t="shared" si="1"/>
        <v/>
      </c>
      <c r="AL50" s="17" t="e">
        <f>_xlfn.RANK.EQ(AK50,($C50,$G50,$K50,$O50,$S50,$W50),1)</f>
        <v>#VALUE!</v>
      </c>
      <c r="AM50" s="17"/>
      <c r="AN50" s="17" t="e">
        <f>_xlfn.RANK.EQ(AM50,($C50,$G50,$K50,$O50,$S50,$W50,$AA50,$AE50,$AI50,$AM50),1)</f>
        <v>#N/A</v>
      </c>
      <c r="AO50" s="33" t="str">
        <f t="shared" si="9"/>
        <v/>
      </c>
      <c r="AP50" s="17" t="e">
        <f>_xlfn.RANK.EQ(AO50,($C50,$G50,$K50,$O50,$S50,$W50),1)</f>
        <v>#VALUE!</v>
      </c>
    </row>
    <row r="51" spans="1:42" x14ac:dyDescent="0.3">
      <c r="A51" s="77">
        <v>14</v>
      </c>
      <c r="B51" s="31" t="s">
        <v>61</v>
      </c>
      <c r="C51" s="33"/>
      <c r="D51" s="17" t="e">
        <f>_xlfn.RANK.EQ(C51,($C51,$G51,$K51,$O51,$S51,$W51,$AB51,$AF51,$AJ51,$AN51),1)</f>
        <v>#N/A</v>
      </c>
      <c r="E51" s="33" t="str">
        <f t="shared" si="2"/>
        <v/>
      </c>
      <c r="F51" s="17" t="e">
        <f>_xlfn.RANK.EQ(E51,($C51,$G51,$K51,$O51,$S51,$W51),1)</f>
        <v>#VALUE!</v>
      </c>
      <c r="G51" s="17"/>
      <c r="H51" s="17" t="e">
        <f>_xlfn.RANK.EQ(G51,($C51,$G51,$K51,$O51,$S51,$W51,$AA51,$AE51,$AI51,$AM51),1)</f>
        <v>#N/A</v>
      </c>
      <c r="I51" s="33" t="str">
        <f t="shared" si="4"/>
        <v/>
      </c>
      <c r="J51" s="17" t="e">
        <f>_xlfn.RANK.EQ(I51,($C51,$G51,$K51,$O51,$S51,$W51),1)</f>
        <v>#VALUE!</v>
      </c>
      <c r="K51" s="17"/>
      <c r="L51" s="17" t="e">
        <f>_xlfn.RANK.EQ(K51,($C51,$G51,$K51,$O51,$S51,$W51,$AA51,$AE51,$AI51,$AM51),1)</f>
        <v>#N/A</v>
      </c>
      <c r="M51" s="33" t="str">
        <f t="shared" si="5"/>
        <v/>
      </c>
      <c r="N51" s="17" t="e">
        <f>_xlfn.RANK.EQ(M51,($C51,$G51,$K51,$O51,$S51,$W51),1)</f>
        <v>#VALUE!</v>
      </c>
      <c r="O51" s="17"/>
      <c r="P51" s="17" t="e">
        <f>_xlfn.RANK.EQ(O51,($C51,$G51,$K51,$O51,$S51,$W51,$AA51,$AE51,$AI51,$AM51),1)</f>
        <v>#N/A</v>
      </c>
      <c r="Q51" s="33" t="str">
        <f t="shared" si="6"/>
        <v/>
      </c>
      <c r="R51" s="17" t="e">
        <f>_xlfn.RANK.EQ(Q51,($C51,$G51,$K51,$O51,$S51,$W51),1)</f>
        <v>#VALUE!</v>
      </c>
      <c r="S51" s="17"/>
      <c r="T51" s="17" t="e">
        <f>_xlfn.RANK.EQ(S51,($C51,$G51,$K51,$O51,$S51,$W51,$AA51,$AE51,$AI51,$AM51),0)</f>
        <v>#N/A</v>
      </c>
      <c r="U51" s="33" t="str">
        <f t="shared" si="0"/>
        <v/>
      </c>
      <c r="V51" s="17" t="e">
        <f>_xlfn.RANK.EQ(U51,($C51,$G51,$K51,$O51,$S51,$W51),1)</f>
        <v>#VALUE!</v>
      </c>
      <c r="W51" s="17"/>
      <c r="X51" s="17" t="e">
        <f>_xlfn.RANK.EQ(W51,($C51,$G51,$K51,$O51,$S51,$W51,$AA51,$AE51,$AI51,$AM51),1)</f>
        <v>#N/A</v>
      </c>
      <c r="Y51" s="33" t="str">
        <f t="shared" si="3"/>
        <v/>
      </c>
      <c r="Z51" s="17" t="e">
        <f>_xlfn.RANK.EQ(Y51,($C51,$G51,$K51,$O51,$S51,$W51),1)</f>
        <v>#VALUE!</v>
      </c>
      <c r="AA51" s="17"/>
      <c r="AB51" s="17" t="e">
        <f>_xlfn.RANK.EQ(AA51,($C51,$G51,$K51,$O51,$S51,$W51,$AA51,$AE51,$AI51,$AM51),1)</f>
        <v>#N/A</v>
      </c>
      <c r="AC51" s="33" t="str">
        <f t="shared" si="7"/>
        <v/>
      </c>
      <c r="AD51" s="17" t="e">
        <f>_xlfn.RANK.EQ(AC51,($C51,$G51,$K51,$O51,$S51,$W51),1)</f>
        <v>#VALUE!</v>
      </c>
      <c r="AE51" s="17"/>
      <c r="AF51" s="17" t="e">
        <f>_xlfn.RANK.EQ(AE51,($C51,$G51,$K51,$O51,$S51,$W51,$AA51,$AE51,$AI51,$AM51),1)</f>
        <v>#N/A</v>
      </c>
      <c r="AG51" s="33" t="str">
        <f t="shared" si="8"/>
        <v/>
      </c>
      <c r="AH51" s="17" t="e">
        <f>_xlfn.RANK.EQ(AG51,($C51,$G51,$K51,$O51,$S51,$W51),1)</f>
        <v>#VALUE!</v>
      </c>
      <c r="AI51" s="17"/>
      <c r="AJ51" s="17" t="e">
        <f>_xlfn.RANK.EQ(AI51,($C51,$G51,$K51,$O51,$S51,$W51,$AA51,$AE51,$AI51,$AM51),1)</f>
        <v>#N/A</v>
      </c>
      <c r="AK51" s="33" t="str">
        <f t="shared" si="1"/>
        <v/>
      </c>
      <c r="AL51" s="17" t="e">
        <f>_xlfn.RANK.EQ(AK51,($C51,$G51,$K51,$O51,$S51,$W51),1)</f>
        <v>#VALUE!</v>
      </c>
      <c r="AM51" s="17"/>
      <c r="AN51" s="17" t="e">
        <f>_xlfn.RANK.EQ(AM51,($C51,$G51,$K51,$O51,$S51,$W51,$AA51,$AE51,$AI51,$AM51),1)</f>
        <v>#N/A</v>
      </c>
      <c r="AO51" s="33" t="str">
        <f t="shared" si="9"/>
        <v/>
      </c>
      <c r="AP51" s="17" t="e">
        <f>_xlfn.RANK.EQ(AO51,($C51,$G51,$K51,$O51,$S51,$W51),1)</f>
        <v>#VALUE!</v>
      </c>
    </row>
    <row r="52" spans="1:42" x14ac:dyDescent="0.3">
      <c r="A52" s="77"/>
      <c r="B52" s="31" t="s">
        <v>62</v>
      </c>
      <c r="C52" s="33"/>
      <c r="D52" s="17" t="e">
        <f>_xlfn.RANK.EQ(C52,($C52,$G52,$K52,$O52,$S52,$W52,$AB52,$AF52,$AJ52,$AN52),1)</f>
        <v>#N/A</v>
      </c>
      <c r="E52" s="33" t="str">
        <f t="shared" si="2"/>
        <v/>
      </c>
      <c r="F52" s="17" t="e">
        <f>_xlfn.RANK.EQ(E52,($C52,$G52,$K52,$O52,$S52,$W52),1)</f>
        <v>#VALUE!</v>
      </c>
      <c r="G52" s="17"/>
      <c r="H52" s="17" t="e">
        <f>_xlfn.RANK.EQ(G52,($C52,$G52,$K52,$O52,$S52,$W52,$AA52,$AE52,$AI52,$AM52),1)</f>
        <v>#N/A</v>
      </c>
      <c r="I52" s="33" t="str">
        <f t="shared" si="4"/>
        <v/>
      </c>
      <c r="J52" s="17" t="e">
        <f>_xlfn.RANK.EQ(I52,($C52,$G52,$K52,$O52,$S52,$W52),1)</f>
        <v>#VALUE!</v>
      </c>
      <c r="K52" s="17"/>
      <c r="L52" s="17" t="e">
        <f>_xlfn.RANK.EQ(K52,($C52,$G52,$K52,$O52,$S52,$W52,$AA52,$AE52,$AI52,$AM52),1)</f>
        <v>#N/A</v>
      </c>
      <c r="M52" s="33" t="str">
        <f t="shared" si="5"/>
        <v/>
      </c>
      <c r="N52" s="17" t="e">
        <f>_xlfn.RANK.EQ(M52,($C52,$G52,$K52,$O52,$S52,$W52),1)</f>
        <v>#VALUE!</v>
      </c>
      <c r="O52" s="17"/>
      <c r="P52" s="17" t="e">
        <f>_xlfn.RANK.EQ(O52,($C52,$G52,$K52,$O52,$S52,$W52,$AA52,$AE52,$AI52,$AM52),1)</f>
        <v>#N/A</v>
      </c>
      <c r="Q52" s="33" t="str">
        <f t="shared" si="6"/>
        <v/>
      </c>
      <c r="R52" s="17" t="e">
        <f>_xlfn.RANK.EQ(Q52,($C52,$G52,$K52,$O52,$S52,$W52),1)</f>
        <v>#VALUE!</v>
      </c>
      <c r="S52" s="17"/>
      <c r="T52" s="17" t="e">
        <f>_xlfn.RANK.EQ(S52,($C52,$G52,$K52,$O52,$S52,$W52,$AA52,$AE52,$AI52,$AM52),0)</f>
        <v>#N/A</v>
      </c>
      <c r="U52" s="33" t="str">
        <f t="shared" si="0"/>
        <v/>
      </c>
      <c r="V52" s="17" t="e">
        <f>_xlfn.RANK.EQ(U52,($C52,$G52,$K52,$O52,$S52,$W52),1)</f>
        <v>#VALUE!</v>
      </c>
      <c r="W52" s="17"/>
      <c r="X52" s="17" t="e">
        <f>_xlfn.RANK.EQ(W52,($C52,$G52,$K52,$O52,$S52,$W52,$AA52,$AE52,$AI52,$AM52),1)</f>
        <v>#N/A</v>
      </c>
      <c r="Y52" s="33" t="str">
        <f t="shared" si="3"/>
        <v/>
      </c>
      <c r="Z52" s="17" t="e">
        <f>_xlfn.RANK.EQ(Y52,($C52,$G52,$K52,$O52,$S52,$W52),1)</f>
        <v>#VALUE!</v>
      </c>
      <c r="AA52" s="17"/>
      <c r="AB52" s="17" t="e">
        <f>_xlfn.RANK.EQ(AA52,($C52,$G52,$K52,$O52,$S52,$W52,$AA52,$AE52,$AI52,$AM52),1)</f>
        <v>#N/A</v>
      </c>
      <c r="AC52" s="33" t="str">
        <f t="shared" si="7"/>
        <v/>
      </c>
      <c r="AD52" s="17" t="e">
        <f>_xlfn.RANK.EQ(AC52,($C52,$G52,$K52,$O52,$S52,$W52),1)</f>
        <v>#VALUE!</v>
      </c>
      <c r="AE52" s="17"/>
      <c r="AF52" s="17" t="e">
        <f>_xlfn.RANK.EQ(AE52,($C52,$G52,$K52,$O52,$S52,$W52,$AA52,$AE52,$AI52,$AM52),1)</f>
        <v>#N/A</v>
      </c>
      <c r="AG52" s="33" t="str">
        <f t="shared" si="8"/>
        <v/>
      </c>
      <c r="AH52" s="17" t="e">
        <f>_xlfn.RANK.EQ(AG52,($C52,$G52,$K52,$O52,$S52,$W52),1)</f>
        <v>#VALUE!</v>
      </c>
      <c r="AI52" s="17"/>
      <c r="AJ52" s="17" t="e">
        <f>_xlfn.RANK.EQ(AI52,($C52,$G52,$K52,$O52,$S52,$W52,$AA52,$AE52,$AI52,$AM52),1)</f>
        <v>#N/A</v>
      </c>
      <c r="AK52" s="33" t="str">
        <f t="shared" si="1"/>
        <v/>
      </c>
      <c r="AL52" s="17" t="e">
        <f>_xlfn.RANK.EQ(AK52,($C52,$G52,$K52,$O52,$S52,$W52),1)</f>
        <v>#VALUE!</v>
      </c>
      <c r="AM52" s="17"/>
      <c r="AN52" s="17" t="e">
        <f>_xlfn.RANK.EQ(AM52,($C52,$G52,$K52,$O52,$S52,$W52,$AA52,$AE52,$AI52,$AM52),1)</f>
        <v>#N/A</v>
      </c>
      <c r="AO52" s="33" t="str">
        <f t="shared" si="9"/>
        <v/>
      </c>
      <c r="AP52" s="17" t="e">
        <f>_xlfn.RANK.EQ(AO52,($C52,$G52,$K52,$O52,$S52,$W52),1)</f>
        <v>#VALUE!</v>
      </c>
    </row>
    <row r="53" spans="1:42" x14ac:dyDescent="0.3">
      <c r="A53" s="77"/>
      <c r="B53" s="31" t="s">
        <v>63</v>
      </c>
      <c r="C53" s="33"/>
      <c r="D53" s="17" t="e">
        <f>_xlfn.RANK.EQ(C53,($C53,$G53,$K53,$O53,$S53,$W53,$AB53,$AF53,$AJ53,$AN53),1)</f>
        <v>#N/A</v>
      </c>
      <c r="E53" s="33" t="str">
        <f t="shared" si="2"/>
        <v/>
      </c>
      <c r="F53" s="17" t="e">
        <f>_xlfn.RANK.EQ(E53,($C53,$G53,$K53,$O53,$S53,$W53),1)</f>
        <v>#VALUE!</v>
      </c>
      <c r="G53" s="17"/>
      <c r="H53" s="17" t="e">
        <f>_xlfn.RANK.EQ(G53,($C53,$G53,$K53,$O53,$S53,$W53,$AA53,$AE53,$AI53,$AM53),1)</f>
        <v>#N/A</v>
      </c>
      <c r="I53" s="33" t="str">
        <f t="shared" si="4"/>
        <v/>
      </c>
      <c r="J53" s="17" t="e">
        <f>_xlfn.RANK.EQ(I53,($C53,$G53,$K53,$O53,$S53,$W53),1)</f>
        <v>#VALUE!</v>
      </c>
      <c r="K53" s="17"/>
      <c r="L53" s="17" t="e">
        <f>_xlfn.RANK.EQ(K53,($C53,$G53,$K53,$O53,$S53,$W53,$AA53,$AE53,$AI53,$AM53),1)</f>
        <v>#N/A</v>
      </c>
      <c r="M53" s="33" t="str">
        <f t="shared" si="5"/>
        <v/>
      </c>
      <c r="N53" s="17" t="e">
        <f>_xlfn.RANK.EQ(M53,($C53,$G53,$K53,$O53,$S53,$W53),1)</f>
        <v>#VALUE!</v>
      </c>
      <c r="O53" s="17"/>
      <c r="P53" s="17" t="e">
        <f>_xlfn.RANK.EQ(O53,($C53,$G53,$K53,$O53,$S53,$W53,$AA53,$AE53,$AI53,$AM53),1)</f>
        <v>#N/A</v>
      </c>
      <c r="Q53" s="33" t="str">
        <f t="shared" si="6"/>
        <v/>
      </c>
      <c r="R53" s="17" t="e">
        <f>_xlfn.RANK.EQ(Q53,($C53,$G53,$K53,$O53,$S53,$W53),1)</f>
        <v>#VALUE!</v>
      </c>
      <c r="S53" s="17"/>
      <c r="T53" s="17" t="e">
        <f>_xlfn.RANK.EQ(S53,($C53,$G53,$K53,$O53,$S53,$W53,$AA53,$AE53,$AI53,$AM53),0)</f>
        <v>#N/A</v>
      </c>
      <c r="U53" s="33" t="str">
        <f t="shared" si="0"/>
        <v/>
      </c>
      <c r="V53" s="17" t="e">
        <f>_xlfn.RANK.EQ(U53,($C53,$G53,$K53,$O53,$S53,$W53),1)</f>
        <v>#VALUE!</v>
      </c>
      <c r="W53" s="17"/>
      <c r="X53" s="17" t="e">
        <f>_xlfn.RANK.EQ(W53,($C53,$G53,$K53,$O53,$S53,$W53,$AA53,$AE53,$AI53,$AM53),1)</f>
        <v>#N/A</v>
      </c>
      <c r="Y53" s="33" t="str">
        <f t="shared" si="3"/>
        <v/>
      </c>
      <c r="Z53" s="17" t="e">
        <f>_xlfn.RANK.EQ(Y53,($C53,$G53,$K53,$O53,$S53,$W53),1)</f>
        <v>#VALUE!</v>
      </c>
      <c r="AA53" s="17"/>
      <c r="AB53" s="17" t="e">
        <f>_xlfn.RANK.EQ(AA53,($C53,$G53,$K53,$O53,$S53,$W53,$AA53,$AE53,$AI53,$AM53),1)</f>
        <v>#N/A</v>
      </c>
      <c r="AC53" s="33" t="str">
        <f t="shared" si="7"/>
        <v/>
      </c>
      <c r="AD53" s="17" t="e">
        <f>_xlfn.RANK.EQ(AC53,($C53,$G53,$K53,$O53,$S53,$W53),1)</f>
        <v>#VALUE!</v>
      </c>
      <c r="AE53" s="17"/>
      <c r="AF53" s="17" t="e">
        <f>_xlfn.RANK.EQ(AE53,($C53,$G53,$K53,$O53,$S53,$W53,$AA53,$AE53,$AI53,$AM53),1)</f>
        <v>#N/A</v>
      </c>
      <c r="AG53" s="33" t="str">
        <f t="shared" si="8"/>
        <v/>
      </c>
      <c r="AH53" s="17" t="e">
        <f>_xlfn.RANK.EQ(AG53,($C53,$G53,$K53,$O53,$S53,$W53),1)</f>
        <v>#VALUE!</v>
      </c>
      <c r="AI53" s="17"/>
      <c r="AJ53" s="17" t="e">
        <f>_xlfn.RANK.EQ(AI53,($C53,$G53,$K53,$O53,$S53,$W53,$AA53,$AE53,$AI53,$AM53),1)</f>
        <v>#N/A</v>
      </c>
      <c r="AK53" s="33" t="str">
        <f t="shared" si="1"/>
        <v/>
      </c>
      <c r="AL53" s="17" t="e">
        <f>_xlfn.RANK.EQ(AK53,($C53,$G53,$K53,$O53,$S53,$W53),1)</f>
        <v>#VALUE!</v>
      </c>
      <c r="AM53" s="17"/>
      <c r="AN53" s="17" t="e">
        <f>_xlfn.RANK.EQ(AM53,($C53,$G53,$K53,$O53,$S53,$W53,$AA53,$AE53,$AI53,$AM53),1)</f>
        <v>#N/A</v>
      </c>
      <c r="AO53" s="33" t="str">
        <f t="shared" si="9"/>
        <v/>
      </c>
      <c r="AP53" s="17" t="e">
        <f>_xlfn.RANK.EQ(AO53,($C53,$G53,$K53,$O53,$S53,$W53),1)</f>
        <v>#VALUE!</v>
      </c>
    </row>
    <row r="54" spans="1:42" x14ac:dyDescent="0.3">
      <c r="A54" s="77">
        <v>15</v>
      </c>
      <c r="B54" s="31" t="s">
        <v>61</v>
      </c>
      <c r="C54" s="33"/>
      <c r="D54" s="17" t="e">
        <f>_xlfn.RANK.EQ(C54,($C54,$G54,$K54,$O54,$S54,$W54,$AB54,$AF54,$AJ54,$AN54),1)</f>
        <v>#N/A</v>
      </c>
      <c r="E54" s="33" t="str">
        <f t="shared" si="2"/>
        <v/>
      </c>
      <c r="F54" s="17" t="e">
        <f>_xlfn.RANK.EQ(E54,($C54,$G54,$K54,$O54,$S54,$W54),1)</f>
        <v>#VALUE!</v>
      </c>
      <c r="G54" s="17"/>
      <c r="H54" s="17" t="e">
        <f>_xlfn.RANK.EQ(G54,($C54,$G54,$K54,$O54,$S54,$W54,$AA54,$AE54,$AI54,$AM54),1)</f>
        <v>#N/A</v>
      </c>
      <c r="I54" s="33" t="str">
        <f t="shared" si="4"/>
        <v/>
      </c>
      <c r="J54" s="17" t="e">
        <f>_xlfn.RANK.EQ(I54,($C54,$G54,$K54,$O54,$S54,$W54),1)</f>
        <v>#VALUE!</v>
      </c>
      <c r="K54" s="17"/>
      <c r="L54" s="17" t="e">
        <f>_xlfn.RANK.EQ(K54,($C54,$G54,$K54,$O54,$S54,$W54,$AA54,$AE54,$AI54,$AM54),1)</f>
        <v>#N/A</v>
      </c>
      <c r="M54" s="33" t="str">
        <f t="shared" si="5"/>
        <v/>
      </c>
      <c r="N54" s="17" t="e">
        <f>_xlfn.RANK.EQ(M54,($C54,$G54,$K54,$O54,$S54,$W54),1)</f>
        <v>#VALUE!</v>
      </c>
      <c r="O54" s="17"/>
      <c r="P54" s="17" t="e">
        <f>_xlfn.RANK.EQ(O54,($C54,$G54,$K54,$O54,$S54,$W54,$AA54,$AE54,$AI54,$AM54),1)</f>
        <v>#N/A</v>
      </c>
      <c r="Q54" s="33" t="str">
        <f t="shared" si="6"/>
        <v/>
      </c>
      <c r="R54" s="17" t="e">
        <f>_xlfn.RANK.EQ(Q54,($C54,$G54,$K54,$O54,$S54,$W54),1)</f>
        <v>#VALUE!</v>
      </c>
      <c r="S54" s="17"/>
      <c r="T54" s="17" t="e">
        <f>_xlfn.RANK.EQ(S54,($C54,$G54,$K54,$O54,$S54,$W54,$AA54,$AE54,$AI54,$AM54),0)</f>
        <v>#N/A</v>
      </c>
      <c r="U54" s="33" t="str">
        <f t="shared" si="0"/>
        <v/>
      </c>
      <c r="V54" s="17" t="e">
        <f>_xlfn.RANK.EQ(U54,($C54,$G54,$K54,$O54,$S54,$W54),1)</f>
        <v>#VALUE!</v>
      </c>
      <c r="W54" s="17"/>
      <c r="X54" s="17" t="e">
        <f>_xlfn.RANK.EQ(W54,($C54,$G54,$K54,$O54,$S54,$W54,$AA54,$AE54,$AI54,$AM54),1)</f>
        <v>#N/A</v>
      </c>
      <c r="Y54" s="33" t="str">
        <f t="shared" si="3"/>
        <v/>
      </c>
      <c r="Z54" s="17" t="e">
        <f>_xlfn.RANK.EQ(Y54,($C54,$G54,$K54,$O54,$S54,$W54),1)</f>
        <v>#VALUE!</v>
      </c>
      <c r="AA54" s="17"/>
      <c r="AB54" s="17" t="e">
        <f>_xlfn.RANK.EQ(AA54,($C54,$G54,$K54,$O54,$S54,$W54,$AA54,$AE54,$AI54,$AM54),1)</f>
        <v>#N/A</v>
      </c>
      <c r="AC54" s="33" t="str">
        <f t="shared" si="7"/>
        <v/>
      </c>
      <c r="AD54" s="17" t="e">
        <f>_xlfn.RANK.EQ(AC54,($C54,$G54,$K54,$O54,$S54,$W54),1)</f>
        <v>#VALUE!</v>
      </c>
      <c r="AE54" s="17"/>
      <c r="AF54" s="17" t="e">
        <f>_xlfn.RANK.EQ(AE54,($C54,$G54,$K54,$O54,$S54,$W54,$AA54,$AE54,$AI54,$AM54),1)</f>
        <v>#N/A</v>
      </c>
      <c r="AG54" s="33" t="str">
        <f t="shared" si="8"/>
        <v/>
      </c>
      <c r="AH54" s="17" t="e">
        <f>_xlfn.RANK.EQ(AG54,($C54,$G54,$K54,$O54,$S54,$W54),1)</f>
        <v>#VALUE!</v>
      </c>
      <c r="AI54" s="17"/>
      <c r="AJ54" s="17" t="e">
        <f>_xlfn.RANK.EQ(AI54,($C54,$G54,$K54,$O54,$S54,$W54,$AA54,$AE54,$AI54,$AM54),1)</f>
        <v>#N/A</v>
      </c>
      <c r="AK54" s="33" t="str">
        <f t="shared" si="1"/>
        <v/>
      </c>
      <c r="AL54" s="17" t="e">
        <f>_xlfn.RANK.EQ(AK54,($C54,$G54,$K54,$O54,$S54,$W54),1)</f>
        <v>#VALUE!</v>
      </c>
      <c r="AM54" s="17"/>
      <c r="AN54" s="17" t="e">
        <f>_xlfn.RANK.EQ(AM54,($C54,$G54,$K54,$O54,$S54,$W54,$AA54,$AE54,$AI54,$AM54),1)</f>
        <v>#N/A</v>
      </c>
      <c r="AO54" s="33" t="str">
        <f t="shared" si="9"/>
        <v/>
      </c>
      <c r="AP54" s="17" t="e">
        <f>_xlfn.RANK.EQ(AO54,($C54,$G54,$K54,$O54,$S54,$W54),1)</f>
        <v>#VALUE!</v>
      </c>
    </row>
    <row r="55" spans="1:42" x14ac:dyDescent="0.3">
      <c r="A55" s="77"/>
      <c r="B55" s="31" t="s">
        <v>62</v>
      </c>
      <c r="C55" s="33"/>
      <c r="D55" s="17" t="e">
        <f>_xlfn.RANK.EQ(C55,($C55,$G55,$K55,$O55,$S55,$W55,$AB55,$AF55,$AJ55,$AN55),1)</f>
        <v>#N/A</v>
      </c>
      <c r="E55" s="33" t="str">
        <f t="shared" si="2"/>
        <v/>
      </c>
      <c r="F55" s="17" t="e">
        <f>_xlfn.RANK.EQ(E55,($C55,$G55,$K55,$O55,$S55,$W55),1)</f>
        <v>#VALUE!</v>
      </c>
      <c r="G55" s="17"/>
      <c r="H55" s="17" t="e">
        <f>_xlfn.RANK.EQ(G55,($C55,$G55,$K55,$O55,$S55,$W55,$AA55,$AE55,$AI55,$AM55),1)</f>
        <v>#N/A</v>
      </c>
      <c r="I55" s="33" t="str">
        <f t="shared" si="4"/>
        <v/>
      </c>
      <c r="J55" s="17" t="e">
        <f>_xlfn.RANK.EQ(I55,($C55,$G55,$K55,$O55,$S55,$W55),1)</f>
        <v>#VALUE!</v>
      </c>
      <c r="K55" s="17"/>
      <c r="L55" s="17" t="e">
        <f>_xlfn.RANK.EQ(K55,($C55,$G55,$K55,$O55,$S55,$W55,$AA55,$AE55,$AI55,$AM55),1)</f>
        <v>#N/A</v>
      </c>
      <c r="M55" s="33" t="str">
        <f t="shared" si="5"/>
        <v/>
      </c>
      <c r="N55" s="17" t="e">
        <f>_xlfn.RANK.EQ(M55,($C55,$G55,$K55,$O55,$S55,$W55),1)</f>
        <v>#VALUE!</v>
      </c>
      <c r="O55" s="17"/>
      <c r="P55" s="17" t="e">
        <f>_xlfn.RANK.EQ(O55,($C55,$G55,$K55,$O55,$S55,$W55,$AA55,$AE55,$AI55,$AM55),1)</f>
        <v>#N/A</v>
      </c>
      <c r="Q55" s="33" t="str">
        <f t="shared" si="6"/>
        <v/>
      </c>
      <c r="R55" s="17" t="e">
        <f>_xlfn.RANK.EQ(Q55,($C55,$G55,$K55,$O55,$S55,$W55),1)</f>
        <v>#VALUE!</v>
      </c>
      <c r="S55" s="17"/>
      <c r="T55" s="17" t="e">
        <f>_xlfn.RANK.EQ(S55,($C55,$G55,$K55,$O55,$S55,$W55,$AA55,$AE55,$AI55,$AM55),0)</f>
        <v>#N/A</v>
      </c>
      <c r="U55" s="33" t="str">
        <f t="shared" si="0"/>
        <v/>
      </c>
      <c r="V55" s="17" t="e">
        <f>_xlfn.RANK.EQ(U55,($C55,$G55,$K55,$O55,$S55,$W55),1)</f>
        <v>#VALUE!</v>
      </c>
      <c r="W55" s="17"/>
      <c r="X55" s="17" t="e">
        <f>_xlfn.RANK.EQ(W55,($C55,$G55,$K55,$O55,$S55,$W55,$AA55,$AE55,$AI55,$AM55),1)</f>
        <v>#N/A</v>
      </c>
      <c r="Y55" s="33" t="str">
        <f t="shared" si="3"/>
        <v/>
      </c>
      <c r="Z55" s="17" t="e">
        <f>_xlfn.RANK.EQ(Y55,($C55,$G55,$K55,$O55,$S55,$W55),1)</f>
        <v>#VALUE!</v>
      </c>
      <c r="AA55" s="17"/>
      <c r="AB55" s="17" t="e">
        <f>_xlfn.RANK.EQ(AA55,($C55,$G55,$K55,$O55,$S55,$W55,$AA55,$AE55,$AI55,$AM55),1)</f>
        <v>#N/A</v>
      </c>
      <c r="AC55" s="33" t="str">
        <f t="shared" si="7"/>
        <v/>
      </c>
      <c r="AD55" s="17" t="e">
        <f>_xlfn.RANK.EQ(AC55,($C55,$G55,$K55,$O55,$S55,$W55),1)</f>
        <v>#VALUE!</v>
      </c>
      <c r="AE55" s="17"/>
      <c r="AF55" s="17" t="e">
        <f>_xlfn.RANK.EQ(AE55,($C55,$G55,$K55,$O55,$S55,$W55,$AA55,$AE55,$AI55,$AM55),1)</f>
        <v>#N/A</v>
      </c>
      <c r="AG55" s="33" t="str">
        <f t="shared" si="8"/>
        <v/>
      </c>
      <c r="AH55" s="17" t="e">
        <f>_xlfn.RANK.EQ(AG55,($C55,$G55,$K55,$O55,$S55,$W55),1)</f>
        <v>#VALUE!</v>
      </c>
      <c r="AI55" s="17"/>
      <c r="AJ55" s="17" t="e">
        <f>_xlfn.RANK.EQ(AI55,($C55,$G55,$K55,$O55,$S55,$W55,$AA55,$AE55,$AI55,$AM55),1)</f>
        <v>#N/A</v>
      </c>
      <c r="AK55" s="33" t="str">
        <f t="shared" si="1"/>
        <v/>
      </c>
      <c r="AL55" s="17" t="e">
        <f>_xlfn.RANK.EQ(AK55,($C55,$G55,$K55,$O55,$S55,$W55),1)</f>
        <v>#VALUE!</v>
      </c>
      <c r="AM55" s="17"/>
      <c r="AN55" s="17" t="e">
        <f>_xlfn.RANK.EQ(AM55,($C55,$G55,$K55,$O55,$S55,$W55,$AA55,$AE55,$AI55,$AM55),1)</f>
        <v>#N/A</v>
      </c>
      <c r="AO55" s="33" t="str">
        <f t="shared" si="9"/>
        <v/>
      </c>
      <c r="AP55" s="17" t="e">
        <f>_xlfn.RANK.EQ(AO55,($C55,$G55,$K55,$O55,$S55,$W55),1)</f>
        <v>#VALUE!</v>
      </c>
    </row>
    <row r="56" spans="1:42" x14ac:dyDescent="0.3">
      <c r="A56" s="77"/>
      <c r="B56" s="31" t="s">
        <v>63</v>
      </c>
      <c r="C56" s="33"/>
      <c r="D56" s="17" t="e">
        <f>_xlfn.RANK.EQ(C56,($C56,$G56,$K56,$O56,$S56,$W56,$AB56,$AF56,$AJ56,$AN56),1)</f>
        <v>#N/A</v>
      </c>
      <c r="E56" s="33" t="str">
        <f t="shared" si="2"/>
        <v/>
      </c>
      <c r="F56" s="17" t="e">
        <f>_xlfn.RANK.EQ(E56,($C56,$G56,$K56,$O56,$S56,$W56),1)</f>
        <v>#VALUE!</v>
      </c>
      <c r="G56" s="17"/>
      <c r="H56" s="17" t="e">
        <f>_xlfn.RANK.EQ(G56,($C56,$G56,$K56,$O56,$S56,$W56,$AA56,$AE56,$AI56,$AM56),1)</f>
        <v>#N/A</v>
      </c>
      <c r="I56" s="33" t="str">
        <f t="shared" si="4"/>
        <v/>
      </c>
      <c r="J56" s="17" t="e">
        <f>_xlfn.RANK.EQ(I56,($C56,$G56,$K56,$O56,$S56,$W56),1)</f>
        <v>#VALUE!</v>
      </c>
      <c r="K56" s="17"/>
      <c r="L56" s="17" t="e">
        <f>_xlfn.RANK.EQ(K56,($C56,$G56,$K56,$O56,$S56,$W56,$AA56,$AE56,$AI56,$AM56),1)</f>
        <v>#N/A</v>
      </c>
      <c r="M56" s="33" t="str">
        <f t="shared" si="5"/>
        <v/>
      </c>
      <c r="N56" s="17" t="e">
        <f>_xlfn.RANK.EQ(M56,($C56,$G56,$K56,$O56,$S56,$W56),1)</f>
        <v>#VALUE!</v>
      </c>
      <c r="O56" s="17"/>
      <c r="P56" s="17" t="e">
        <f>_xlfn.RANK.EQ(O56,($C56,$G56,$K56,$O56,$S56,$W56,$AA56,$AE56,$AI56,$AM56),1)</f>
        <v>#N/A</v>
      </c>
      <c r="Q56" s="33" t="str">
        <f t="shared" si="6"/>
        <v/>
      </c>
      <c r="R56" s="17" t="e">
        <f>_xlfn.RANK.EQ(Q56,($C56,$G56,$K56,$O56,$S56,$W56),1)</f>
        <v>#VALUE!</v>
      </c>
      <c r="S56" s="17"/>
      <c r="T56" s="17" t="e">
        <f>_xlfn.RANK.EQ(S56,($C56,$G56,$K56,$O56,$S56,$W56,$AA56,$AE56,$AI56,$AM56),0)</f>
        <v>#N/A</v>
      </c>
      <c r="U56" s="33" t="str">
        <f t="shared" si="0"/>
        <v/>
      </c>
      <c r="V56" s="17" t="e">
        <f>_xlfn.RANK.EQ(U56,($C56,$G56,$K56,$O56,$S56,$W56),1)</f>
        <v>#VALUE!</v>
      </c>
      <c r="W56" s="17"/>
      <c r="X56" s="17" t="e">
        <f>_xlfn.RANK.EQ(W56,($C56,$G56,$K56,$O56,$S56,$W56,$AA56,$AE56,$AI56,$AM56),1)</f>
        <v>#N/A</v>
      </c>
      <c r="Y56" s="33" t="str">
        <f t="shared" si="3"/>
        <v/>
      </c>
      <c r="Z56" s="17" t="e">
        <f>_xlfn.RANK.EQ(Y56,($C56,$G56,$K56,$O56,$S56,$W56),1)</f>
        <v>#VALUE!</v>
      </c>
      <c r="AA56" s="17"/>
      <c r="AB56" s="17" t="e">
        <f>_xlfn.RANK.EQ(AA56,($C56,$G56,$K56,$O56,$S56,$W56,$AA56,$AE56,$AI56,$AM56),1)</f>
        <v>#N/A</v>
      </c>
      <c r="AC56" s="33" t="str">
        <f t="shared" si="7"/>
        <v/>
      </c>
      <c r="AD56" s="17" t="e">
        <f>_xlfn.RANK.EQ(AC56,($C56,$G56,$K56,$O56,$S56,$W56),1)</f>
        <v>#VALUE!</v>
      </c>
      <c r="AE56" s="17"/>
      <c r="AF56" s="17" t="e">
        <f>_xlfn.RANK.EQ(AE56,($C56,$G56,$K56,$O56,$S56,$W56,$AA56,$AE56,$AI56,$AM56),1)</f>
        <v>#N/A</v>
      </c>
      <c r="AG56" s="33" t="str">
        <f t="shared" si="8"/>
        <v/>
      </c>
      <c r="AH56" s="17" t="e">
        <f>_xlfn.RANK.EQ(AG56,($C56,$G56,$K56,$O56,$S56,$W56),1)</f>
        <v>#VALUE!</v>
      </c>
      <c r="AI56" s="17"/>
      <c r="AJ56" s="17" t="e">
        <f>_xlfn.RANK.EQ(AI56,($C56,$G56,$K56,$O56,$S56,$W56,$AA56,$AE56,$AI56,$AM56),1)</f>
        <v>#N/A</v>
      </c>
      <c r="AK56" s="33" t="str">
        <f t="shared" si="1"/>
        <v/>
      </c>
      <c r="AL56" s="17" t="e">
        <f>_xlfn.RANK.EQ(AK56,($C56,$G56,$K56,$O56,$S56,$W56),1)</f>
        <v>#VALUE!</v>
      </c>
      <c r="AM56" s="17"/>
      <c r="AN56" s="17" t="e">
        <f>_xlfn.RANK.EQ(AM56,($C56,$G56,$K56,$O56,$S56,$W56,$AA56,$AE56,$AI56,$AM56),1)</f>
        <v>#N/A</v>
      </c>
      <c r="AO56" s="33" t="str">
        <f t="shared" si="9"/>
        <v/>
      </c>
      <c r="AP56" s="17" t="e">
        <f>_xlfn.RANK.EQ(AO56,($C56,$G56,$K56,$O56,$S56,$W56),1)</f>
        <v>#VALUE!</v>
      </c>
    </row>
    <row r="57" spans="1:42" x14ac:dyDescent="0.3">
      <c r="A57" s="77">
        <v>16</v>
      </c>
      <c r="B57" s="31" t="s">
        <v>61</v>
      </c>
      <c r="C57" s="33"/>
      <c r="D57" s="17" t="e">
        <f>_xlfn.RANK.EQ(C57,($C57,$G57,$K57,$O57,$S57,$W57,$AB57,$AF57,$AJ57,$AN57),1)</f>
        <v>#N/A</v>
      </c>
      <c r="E57" s="33" t="str">
        <f t="shared" si="2"/>
        <v/>
      </c>
      <c r="F57" s="17" t="e">
        <f>_xlfn.RANK.EQ(E57,($C57,$G57,$K57,$O57,$S57,$W57),1)</f>
        <v>#VALUE!</v>
      </c>
      <c r="G57" s="17"/>
      <c r="H57" s="17" t="e">
        <f>_xlfn.RANK.EQ(G57,($C57,$G57,$K57,$O57,$S57,$W57,$AA57,$AE57,$AI57,$AM57),1)</f>
        <v>#N/A</v>
      </c>
      <c r="I57" s="33" t="str">
        <f t="shared" si="4"/>
        <v/>
      </c>
      <c r="J57" s="17" t="e">
        <f>_xlfn.RANK.EQ(I57,($C57,$G57,$K57,$O57,$S57,$W57),1)</f>
        <v>#VALUE!</v>
      </c>
      <c r="K57" s="17"/>
      <c r="L57" s="17" t="e">
        <f>_xlfn.RANK.EQ(K57,($C57,$G57,$K57,$O57,$S57,$W57,$AA57,$AE57,$AI57,$AM57),1)</f>
        <v>#N/A</v>
      </c>
      <c r="M57" s="33" t="str">
        <f t="shared" si="5"/>
        <v/>
      </c>
      <c r="N57" s="17" t="e">
        <f>_xlfn.RANK.EQ(M57,($C57,$G57,$K57,$O57,$S57,$W57),1)</f>
        <v>#VALUE!</v>
      </c>
      <c r="O57" s="17"/>
      <c r="P57" s="17" t="e">
        <f>_xlfn.RANK.EQ(O57,($C57,$G57,$K57,$O57,$S57,$W57,$AA57,$AE57,$AI57,$AM57),1)</f>
        <v>#N/A</v>
      </c>
      <c r="Q57" s="33" t="str">
        <f t="shared" si="6"/>
        <v/>
      </c>
      <c r="R57" s="17" t="e">
        <f>_xlfn.RANK.EQ(Q57,($C57,$G57,$K57,$O57,$S57,$W57),1)</f>
        <v>#VALUE!</v>
      </c>
      <c r="S57" s="17"/>
      <c r="T57" s="17" t="e">
        <f>_xlfn.RANK.EQ(S57,($C57,$G57,$K57,$O57,$S57,$W57,$AA57,$AE57,$AI57,$AM57),0)</f>
        <v>#N/A</v>
      </c>
      <c r="U57" s="33" t="str">
        <f t="shared" si="0"/>
        <v/>
      </c>
      <c r="V57" s="17" t="e">
        <f>_xlfn.RANK.EQ(U57,($C57,$G57,$K57,$O57,$S57,$W57),1)</f>
        <v>#VALUE!</v>
      </c>
      <c r="W57" s="17"/>
      <c r="X57" s="17" t="e">
        <f>_xlfn.RANK.EQ(W57,($C57,$G57,$K57,$O57,$S57,$W57,$AA57,$AE57,$AI57,$AM57),1)</f>
        <v>#N/A</v>
      </c>
      <c r="Y57" s="33" t="str">
        <f t="shared" si="3"/>
        <v/>
      </c>
      <c r="Z57" s="17" t="e">
        <f>_xlfn.RANK.EQ(Y57,($C57,$G57,$K57,$O57,$S57,$W57),1)</f>
        <v>#VALUE!</v>
      </c>
      <c r="AA57" s="17"/>
      <c r="AB57" s="17" t="e">
        <f>_xlfn.RANK.EQ(AA57,($C57,$G57,$K57,$O57,$S57,$W57,$AA57,$AE57,$AI57,$AM57),1)</f>
        <v>#N/A</v>
      </c>
      <c r="AC57" s="33" t="str">
        <f t="shared" si="7"/>
        <v/>
      </c>
      <c r="AD57" s="17" t="e">
        <f>_xlfn.RANK.EQ(AC57,($C57,$G57,$K57,$O57,$S57,$W57),1)</f>
        <v>#VALUE!</v>
      </c>
      <c r="AE57" s="17"/>
      <c r="AF57" s="17" t="e">
        <f>_xlfn.RANK.EQ(AE57,($C57,$G57,$K57,$O57,$S57,$W57,$AA57,$AE57,$AI57,$AM57),1)</f>
        <v>#N/A</v>
      </c>
      <c r="AG57" s="33" t="str">
        <f t="shared" si="8"/>
        <v/>
      </c>
      <c r="AH57" s="17" t="e">
        <f>_xlfn.RANK.EQ(AG57,($C57,$G57,$K57,$O57,$S57,$W57),1)</f>
        <v>#VALUE!</v>
      </c>
      <c r="AI57" s="17"/>
      <c r="AJ57" s="17" t="e">
        <f>_xlfn.RANK.EQ(AI57,($C57,$G57,$K57,$O57,$S57,$W57,$AA57,$AE57,$AI57,$AM57),1)</f>
        <v>#N/A</v>
      </c>
      <c r="AK57" s="33" t="str">
        <f t="shared" si="1"/>
        <v/>
      </c>
      <c r="AL57" s="17" t="e">
        <f>_xlfn.RANK.EQ(AK57,($C57,$G57,$K57,$O57,$S57,$W57),1)</f>
        <v>#VALUE!</v>
      </c>
      <c r="AM57" s="17"/>
      <c r="AN57" s="17" t="e">
        <f>_xlfn.RANK.EQ(AM57,($C57,$G57,$K57,$O57,$S57,$W57,$AA57,$AE57,$AI57,$AM57),1)</f>
        <v>#N/A</v>
      </c>
      <c r="AO57" s="33" t="str">
        <f t="shared" si="9"/>
        <v/>
      </c>
      <c r="AP57" s="17" t="e">
        <f>_xlfn.RANK.EQ(AO57,($C57,$G57,$K57,$O57,$S57,$W57),1)</f>
        <v>#VALUE!</v>
      </c>
    </row>
    <row r="58" spans="1:42" x14ac:dyDescent="0.3">
      <c r="A58" s="77"/>
      <c r="B58" s="31" t="s">
        <v>62</v>
      </c>
      <c r="C58" s="33"/>
      <c r="D58" s="17" t="e">
        <f>_xlfn.RANK.EQ(C58,($C58,$G58,$K58,$O58,$S58,$W58,$AB58,$AF58,$AJ58,$AN58),1)</f>
        <v>#N/A</v>
      </c>
      <c r="E58" s="33" t="str">
        <f t="shared" si="2"/>
        <v/>
      </c>
      <c r="F58" s="17" t="e">
        <f>_xlfn.RANK.EQ(E58,($C58,$G58,$K58,$O58,$S58,$W58),1)</f>
        <v>#VALUE!</v>
      </c>
      <c r="G58" s="17"/>
      <c r="H58" s="17" t="e">
        <f>_xlfn.RANK.EQ(G58,($C58,$G58,$K58,$O58,$S58,$W58,$AA58,$AE58,$AI58,$AM58),1)</f>
        <v>#N/A</v>
      </c>
      <c r="I58" s="33" t="str">
        <f t="shared" si="4"/>
        <v/>
      </c>
      <c r="J58" s="17" t="e">
        <f>_xlfn.RANK.EQ(I58,($C58,$G58,$K58,$O58,$S58,$W58),1)</f>
        <v>#VALUE!</v>
      </c>
      <c r="K58" s="17"/>
      <c r="L58" s="17" t="e">
        <f>_xlfn.RANK.EQ(K58,($C58,$G58,$K58,$O58,$S58,$W58,$AA58,$AE58,$AI58,$AM58),1)</f>
        <v>#N/A</v>
      </c>
      <c r="M58" s="33" t="str">
        <f t="shared" si="5"/>
        <v/>
      </c>
      <c r="N58" s="17" t="e">
        <f>_xlfn.RANK.EQ(M58,($C58,$G58,$K58,$O58,$S58,$W58),1)</f>
        <v>#VALUE!</v>
      </c>
      <c r="O58" s="17"/>
      <c r="P58" s="17" t="e">
        <f>_xlfn.RANK.EQ(O58,($C58,$G58,$K58,$O58,$S58,$W58,$AA58,$AE58,$AI58,$AM58),1)</f>
        <v>#N/A</v>
      </c>
      <c r="Q58" s="33" t="str">
        <f t="shared" si="6"/>
        <v/>
      </c>
      <c r="R58" s="17" t="e">
        <f>_xlfn.RANK.EQ(Q58,($C58,$G58,$K58,$O58,$S58,$W58),1)</f>
        <v>#VALUE!</v>
      </c>
      <c r="S58" s="17"/>
      <c r="T58" s="17" t="e">
        <f>_xlfn.RANK.EQ(S58,($C58,$G58,$K58,$O58,$S58,$W58,$AA58,$AE58,$AI58,$AM58),0)</f>
        <v>#N/A</v>
      </c>
      <c r="U58" s="33" t="str">
        <f t="shared" si="0"/>
        <v/>
      </c>
      <c r="V58" s="17" t="e">
        <f>_xlfn.RANK.EQ(U58,($C58,$G58,$K58,$O58,$S58,$W58),1)</f>
        <v>#VALUE!</v>
      </c>
      <c r="W58" s="17"/>
      <c r="X58" s="17" t="e">
        <f>_xlfn.RANK.EQ(W58,($C58,$G58,$K58,$O58,$S58,$W58,$AA58,$AE58,$AI58,$AM58),1)</f>
        <v>#N/A</v>
      </c>
      <c r="Y58" s="33" t="str">
        <f t="shared" si="3"/>
        <v/>
      </c>
      <c r="Z58" s="17" t="e">
        <f>_xlfn.RANK.EQ(Y58,($C58,$G58,$K58,$O58,$S58,$W58),1)</f>
        <v>#VALUE!</v>
      </c>
      <c r="AA58" s="17"/>
      <c r="AB58" s="17" t="e">
        <f>_xlfn.RANK.EQ(AA58,($C58,$G58,$K58,$O58,$S58,$W58,$AA58,$AE58,$AI58,$AM58),1)</f>
        <v>#N/A</v>
      </c>
      <c r="AC58" s="33" t="str">
        <f t="shared" si="7"/>
        <v/>
      </c>
      <c r="AD58" s="17" t="e">
        <f>_xlfn.RANK.EQ(AC58,($C58,$G58,$K58,$O58,$S58,$W58),1)</f>
        <v>#VALUE!</v>
      </c>
      <c r="AE58" s="17"/>
      <c r="AF58" s="17" t="e">
        <f>_xlfn.RANK.EQ(AE58,($C58,$G58,$K58,$O58,$S58,$W58,$AA58,$AE58,$AI58,$AM58),1)</f>
        <v>#N/A</v>
      </c>
      <c r="AG58" s="33" t="str">
        <f t="shared" si="8"/>
        <v/>
      </c>
      <c r="AH58" s="17" t="e">
        <f>_xlfn.RANK.EQ(AG58,($C58,$G58,$K58,$O58,$S58,$W58),1)</f>
        <v>#VALUE!</v>
      </c>
      <c r="AI58" s="17"/>
      <c r="AJ58" s="17" t="e">
        <f>_xlfn.RANK.EQ(AI58,($C58,$G58,$K58,$O58,$S58,$W58,$AA58,$AE58,$AI58,$AM58),1)</f>
        <v>#N/A</v>
      </c>
      <c r="AK58" s="33" t="str">
        <f t="shared" si="1"/>
        <v/>
      </c>
      <c r="AL58" s="17" t="e">
        <f>_xlfn.RANK.EQ(AK58,($C58,$G58,$K58,$O58,$S58,$W58),1)</f>
        <v>#VALUE!</v>
      </c>
      <c r="AM58" s="17"/>
      <c r="AN58" s="17" t="e">
        <f>_xlfn.RANK.EQ(AM58,($C58,$G58,$K58,$O58,$S58,$W58,$AA58,$AE58,$AI58,$AM58),1)</f>
        <v>#N/A</v>
      </c>
      <c r="AO58" s="33" t="str">
        <f t="shared" si="9"/>
        <v/>
      </c>
      <c r="AP58" s="17" t="e">
        <f>_xlfn.RANK.EQ(AO58,($C58,$G58,$K58,$O58,$S58,$W58),1)</f>
        <v>#VALUE!</v>
      </c>
    </row>
    <row r="59" spans="1:42" x14ac:dyDescent="0.3">
      <c r="A59" s="77"/>
      <c r="B59" s="31" t="s">
        <v>63</v>
      </c>
      <c r="C59" s="33"/>
      <c r="D59" s="17" t="e">
        <f>_xlfn.RANK.EQ(C59,($C59,$G59,$K59,$O59,$S59,$W59,$AB59,$AF59,$AJ59,$AN59),1)</f>
        <v>#N/A</v>
      </c>
      <c r="E59" s="33" t="str">
        <f t="shared" si="2"/>
        <v/>
      </c>
      <c r="F59" s="17" t="e">
        <f>_xlfn.RANK.EQ(E59,($C59,$G59,$K59,$O59,$S59,$W59),1)</f>
        <v>#VALUE!</v>
      </c>
      <c r="G59" s="17"/>
      <c r="H59" s="17" t="e">
        <f>_xlfn.RANK.EQ(G59,($C59,$G59,$K59,$O59,$S59,$W59,$AA59,$AE59,$AI59,$AM59),1)</f>
        <v>#N/A</v>
      </c>
      <c r="I59" s="33" t="str">
        <f t="shared" si="4"/>
        <v/>
      </c>
      <c r="J59" s="17" t="e">
        <f>_xlfn.RANK.EQ(I59,($C59,$G59,$K59,$O59,$S59,$W59),1)</f>
        <v>#VALUE!</v>
      </c>
      <c r="K59" s="17"/>
      <c r="L59" s="17" t="e">
        <f>_xlfn.RANK.EQ(K59,($C59,$G59,$K59,$O59,$S59,$W59,$AA59,$AE59,$AI59,$AM59),1)</f>
        <v>#N/A</v>
      </c>
      <c r="M59" s="33" t="str">
        <f t="shared" si="5"/>
        <v/>
      </c>
      <c r="N59" s="17" t="e">
        <f>_xlfn.RANK.EQ(M59,($C59,$G59,$K59,$O59,$S59,$W59),1)</f>
        <v>#VALUE!</v>
      </c>
      <c r="O59" s="17"/>
      <c r="P59" s="17" t="e">
        <f>_xlfn.RANK.EQ(O59,($C59,$G59,$K59,$O59,$S59,$W59,$AA59,$AE59,$AI59,$AM59),1)</f>
        <v>#N/A</v>
      </c>
      <c r="Q59" s="33" t="str">
        <f t="shared" si="6"/>
        <v/>
      </c>
      <c r="R59" s="17" t="e">
        <f>_xlfn.RANK.EQ(Q59,($C59,$G59,$K59,$O59,$S59,$W59),1)</f>
        <v>#VALUE!</v>
      </c>
      <c r="S59" s="17"/>
      <c r="T59" s="17" t="e">
        <f>_xlfn.RANK.EQ(S59,($C59,$G59,$K59,$O59,$S59,$W59,$AA59,$AE59,$AI59,$AM59),0)</f>
        <v>#N/A</v>
      </c>
      <c r="U59" s="33" t="str">
        <f t="shared" si="0"/>
        <v/>
      </c>
      <c r="V59" s="17" t="e">
        <f>_xlfn.RANK.EQ(U59,($C59,$G59,$K59,$O59,$S59,$W59),1)</f>
        <v>#VALUE!</v>
      </c>
      <c r="W59" s="17"/>
      <c r="X59" s="17" t="e">
        <f>_xlfn.RANK.EQ(W59,($C59,$G59,$K59,$O59,$S59,$W59,$AA59,$AE59,$AI59,$AM59),1)</f>
        <v>#N/A</v>
      </c>
      <c r="Y59" s="33" t="str">
        <f t="shared" si="3"/>
        <v/>
      </c>
      <c r="Z59" s="17" t="e">
        <f>_xlfn.RANK.EQ(Y59,($C59,$G59,$K59,$O59,$S59,$W59),1)</f>
        <v>#VALUE!</v>
      </c>
      <c r="AA59" s="17"/>
      <c r="AB59" s="17" t="e">
        <f>_xlfn.RANK.EQ(AA59,($C59,$G59,$K59,$O59,$S59,$W59,$AA59,$AE59,$AI59,$AM59),1)</f>
        <v>#N/A</v>
      </c>
      <c r="AC59" s="33" t="str">
        <f t="shared" si="7"/>
        <v/>
      </c>
      <c r="AD59" s="17" t="e">
        <f>_xlfn.RANK.EQ(AC59,($C59,$G59,$K59,$O59,$S59,$W59),1)</f>
        <v>#VALUE!</v>
      </c>
      <c r="AE59" s="17"/>
      <c r="AF59" s="17" t="e">
        <f>_xlfn.RANK.EQ(AE59,($C59,$G59,$K59,$O59,$S59,$W59,$AA59,$AE59,$AI59,$AM59),1)</f>
        <v>#N/A</v>
      </c>
      <c r="AG59" s="33" t="str">
        <f t="shared" si="8"/>
        <v/>
      </c>
      <c r="AH59" s="17" t="e">
        <f>_xlfn.RANK.EQ(AG59,($C59,$G59,$K59,$O59,$S59,$W59),1)</f>
        <v>#VALUE!</v>
      </c>
      <c r="AI59" s="17"/>
      <c r="AJ59" s="17" t="e">
        <f>_xlfn.RANK.EQ(AI59,($C59,$G59,$K59,$O59,$S59,$W59,$AA59,$AE59,$AI59,$AM59),1)</f>
        <v>#N/A</v>
      </c>
      <c r="AK59" s="33" t="str">
        <f t="shared" si="1"/>
        <v/>
      </c>
      <c r="AL59" s="17" t="e">
        <f>_xlfn.RANK.EQ(AK59,($C59,$G59,$K59,$O59,$S59,$W59),1)</f>
        <v>#VALUE!</v>
      </c>
      <c r="AM59" s="17"/>
      <c r="AN59" s="17" t="e">
        <f>_xlfn.RANK.EQ(AM59,($C59,$G59,$K59,$O59,$S59,$W59,$AA59,$AE59,$AI59,$AM59),1)</f>
        <v>#N/A</v>
      </c>
      <c r="AO59" s="33" t="str">
        <f t="shared" si="9"/>
        <v/>
      </c>
      <c r="AP59" s="17" t="e">
        <f>_xlfn.RANK.EQ(AO59,($C59,$G59,$K59,$O59,$S59,$W59),1)</f>
        <v>#VALUE!</v>
      </c>
    </row>
    <row r="60" spans="1:42" x14ac:dyDescent="0.3">
      <c r="A60" s="77">
        <v>17</v>
      </c>
      <c r="B60" s="31" t="s">
        <v>61</v>
      </c>
      <c r="C60" s="33"/>
      <c r="D60" s="17" t="e">
        <f>_xlfn.RANK.EQ(C60,($C60,$G60,$K60,$O60,$S60,$W60,$AB60,$AF60,$AJ60,$AN60),1)</f>
        <v>#N/A</v>
      </c>
      <c r="E60" s="33" t="str">
        <f t="shared" si="2"/>
        <v/>
      </c>
      <c r="F60" s="17" t="e">
        <f>_xlfn.RANK.EQ(E60,($C60,$G60,$K60,$O60,$S60,$W60),1)</f>
        <v>#VALUE!</v>
      </c>
      <c r="G60" s="17"/>
      <c r="H60" s="17" t="e">
        <f>_xlfn.RANK.EQ(G60,($C60,$G60,$K60,$O60,$S60,$W60,$AA60,$AE60,$AI60,$AM60),1)</f>
        <v>#N/A</v>
      </c>
      <c r="I60" s="33" t="str">
        <f t="shared" si="4"/>
        <v/>
      </c>
      <c r="J60" s="17" t="e">
        <f>_xlfn.RANK.EQ(I60,($C60,$G60,$K60,$O60,$S60,$W60),1)</f>
        <v>#VALUE!</v>
      </c>
      <c r="K60" s="17"/>
      <c r="L60" s="17" t="e">
        <f>_xlfn.RANK.EQ(K60,($C60,$G60,$K60,$O60,$S60,$W60,$AA60,$AE60,$AI60,$AM60),1)</f>
        <v>#N/A</v>
      </c>
      <c r="M60" s="33" t="str">
        <f t="shared" si="5"/>
        <v/>
      </c>
      <c r="N60" s="17" t="e">
        <f>_xlfn.RANK.EQ(M60,($C60,$G60,$K60,$O60,$S60,$W60),1)</f>
        <v>#VALUE!</v>
      </c>
      <c r="O60" s="17"/>
      <c r="P60" s="17" t="e">
        <f>_xlfn.RANK.EQ(O60,($C60,$G60,$K60,$O60,$S60,$W60,$AA60,$AE60,$AI60,$AM60),1)</f>
        <v>#N/A</v>
      </c>
      <c r="Q60" s="33" t="str">
        <f t="shared" si="6"/>
        <v/>
      </c>
      <c r="R60" s="17" t="e">
        <f>_xlfn.RANK.EQ(Q60,($C60,$G60,$K60,$O60,$S60,$W60),1)</f>
        <v>#VALUE!</v>
      </c>
      <c r="S60" s="17"/>
      <c r="T60" s="17" t="e">
        <f>_xlfn.RANK.EQ(S60,($C60,$G60,$K60,$O60,$S60,$W60,$AA60,$AE60,$AI60,$AM60),0)</f>
        <v>#N/A</v>
      </c>
      <c r="U60" s="33" t="str">
        <f t="shared" si="0"/>
        <v/>
      </c>
      <c r="V60" s="17" t="e">
        <f>_xlfn.RANK.EQ(U60,($C60,$G60,$K60,$O60,$S60,$W60),1)</f>
        <v>#VALUE!</v>
      </c>
      <c r="W60" s="17"/>
      <c r="X60" s="17" t="e">
        <f>_xlfn.RANK.EQ(W60,($C60,$G60,$K60,$O60,$S60,$W60,$AA60,$AE60,$AI60,$AM60),1)</f>
        <v>#N/A</v>
      </c>
      <c r="Y60" s="33" t="str">
        <f t="shared" si="3"/>
        <v/>
      </c>
      <c r="Z60" s="17" t="e">
        <f>_xlfn.RANK.EQ(Y60,($C60,$G60,$K60,$O60,$S60,$W60),1)</f>
        <v>#VALUE!</v>
      </c>
      <c r="AA60" s="17"/>
      <c r="AB60" s="17" t="e">
        <f>_xlfn.RANK.EQ(AA60,($C60,$G60,$K60,$O60,$S60,$W60,$AA60,$AE60,$AI60,$AM60),1)</f>
        <v>#N/A</v>
      </c>
      <c r="AC60" s="33" t="str">
        <f t="shared" si="7"/>
        <v/>
      </c>
      <c r="AD60" s="17" t="e">
        <f>_xlfn.RANK.EQ(AC60,($C60,$G60,$K60,$O60,$S60,$W60),1)</f>
        <v>#VALUE!</v>
      </c>
      <c r="AE60" s="17"/>
      <c r="AF60" s="17" t="e">
        <f>_xlfn.RANK.EQ(AE60,($C60,$G60,$K60,$O60,$S60,$W60,$AA60,$AE60,$AI60,$AM60),1)</f>
        <v>#N/A</v>
      </c>
      <c r="AG60" s="33" t="str">
        <f t="shared" si="8"/>
        <v/>
      </c>
      <c r="AH60" s="17" t="e">
        <f>_xlfn.RANK.EQ(AG60,($C60,$G60,$K60,$O60,$S60,$W60),1)</f>
        <v>#VALUE!</v>
      </c>
      <c r="AI60" s="17"/>
      <c r="AJ60" s="17" t="e">
        <f>_xlfn.RANK.EQ(AI60,($C60,$G60,$K60,$O60,$S60,$W60,$AA60,$AE60,$AI60,$AM60),1)</f>
        <v>#N/A</v>
      </c>
      <c r="AK60" s="33" t="str">
        <f t="shared" si="1"/>
        <v/>
      </c>
      <c r="AL60" s="17" t="e">
        <f>_xlfn.RANK.EQ(AK60,($C60,$G60,$K60,$O60,$S60,$W60),1)</f>
        <v>#VALUE!</v>
      </c>
      <c r="AM60" s="17"/>
      <c r="AN60" s="17" t="e">
        <f>_xlfn.RANK.EQ(AM60,($C60,$G60,$K60,$O60,$S60,$W60,$AA60,$AE60,$AI60,$AM60),1)</f>
        <v>#N/A</v>
      </c>
      <c r="AO60" s="33" t="str">
        <f t="shared" si="9"/>
        <v/>
      </c>
      <c r="AP60" s="17" t="e">
        <f>_xlfn.RANK.EQ(AO60,($C60,$G60,$K60,$O60,$S60,$W60),1)</f>
        <v>#VALUE!</v>
      </c>
    </row>
    <row r="61" spans="1:42" x14ac:dyDescent="0.3">
      <c r="A61" s="77"/>
      <c r="B61" s="31" t="s">
        <v>62</v>
      </c>
      <c r="C61" s="33"/>
      <c r="D61" s="17" t="e">
        <f>_xlfn.RANK.EQ(C61,($C61,$G61,$K61,$O61,$S61,$W61,$AB61,$AF61,$AJ61,$AN61),1)</f>
        <v>#N/A</v>
      </c>
      <c r="E61" s="33" t="str">
        <f t="shared" si="2"/>
        <v/>
      </c>
      <c r="F61" s="17" t="e">
        <f>_xlfn.RANK.EQ(E61,($C61,$G61,$K61,$O61,$S61,$W61),1)</f>
        <v>#VALUE!</v>
      </c>
      <c r="G61" s="17"/>
      <c r="H61" s="17" t="e">
        <f>_xlfn.RANK.EQ(G61,($C61,$G61,$K61,$O61,$S61,$W61,$AA61,$AE61,$AI61,$AM61),1)</f>
        <v>#N/A</v>
      </c>
      <c r="I61" s="33" t="str">
        <f t="shared" si="4"/>
        <v/>
      </c>
      <c r="J61" s="17" t="e">
        <f>_xlfn.RANK.EQ(I61,($C61,$G61,$K61,$O61,$S61,$W61),1)</f>
        <v>#VALUE!</v>
      </c>
      <c r="K61" s="17"/>
      <c r="L61" s="17" t="e">
        <f>_xlfn.RANK.EQ(K61,($C61,$G61,$K61,$O61,$S61,$W61,$AA61,$AE61,$AI61,$AM61),1)</f>
        <v>#N/A</v>
      </c>
      <c r="M61" s="33" t="str">
        <f t="shared" si="5"/>
        <v/>
      </c>
      <c r="N61" s="17" t="e">
        <f>_xlfn.RANK.EQ(M61,($C61,$G61,$K61,$O61,$S61,$W61),1)</f>
        <v>#VALUE!</v>
      </c>
      <c r="O61" s="17"/>
      <c r="P61" s="17" t="e">
        <f>_xlfn.RANK.EQ(O61,($C61,$G61,$K61,$O61,$S61,$W61,$AA61,$AE61,$AI61,$AM61),1)</f>
        <v>#N/A</v>
      </c>
      <c r="Q61" s="33" t="str">
        <f t="shared" si="6"/>
        <v/>
      </c>
      <c r="R61" s="17" t="e">
        <f>_xlfn.RANK.EQ(Q61,($C61,$G61,$K61,$O61,$S61,$W61),1)</f>
        <v>#VALUE!</v>
      </c>
      <c r="S61" s="17"/>
      <c r="T61" s="17" t="e">
        <f>_xlfn.RANK.EQ(S61,($C61,$G61,$K61,$O61,$S61,$W61,$AA61,$AE61,$AI61,$AM61),0)</f>
        <v>#N/A</v>
      </c>
      <c r="U61" s="33" t="str">
        <f t="shared" si="0"/>
        <v/>
      </c>
      <c r="V61" s="17" t="e">
        <f>_xlfn.RANK.EQ(U61,($C61,$G61,$K61,$O61,$S61,$W61),1)</f>
        <v>#VALUE!</v>
      </c>
      <c r="W61" s="17"/>
      <c r="X61" s="17" t="e">
        <f>_xlfn.RANK.EQ(W61,($C61,$G61,$K61,$O61,$S61,$W61,$AA61,$AE61,$AI61,$AM61),1)</f>
        <v>#N/A</v>
      </c>
      <c r="Y61" s="33" t="str">
        <f t="shared" si="3"/>
        <v/>
      </c>
      <c r="Z61" s="17" t="e">
        <f>_xlfn.RANK.EQ(Y61,($C61,$G61,$K61,$O61,$S61,$W61),1)</f>
        <v>#VALUE!</v>
      </c>
      <c r="AA61" s="17"/>
      <c r="AB61" s="17" t="e">
        <f>_xlfn.RANK.EQ(AA61,($C61,$G61,$K61,$O61,$S61,$W61,$AA61,$AE61,$AI61,$AM61),1)</f>
        <v>#N/A</v>
      </c>
      <c r="AC61" s="33" t="str">
        <f t="shared" si="7"/>
        <v/>
      </c>
      <c r="AD61" s="17" t="e">
        <f>_xlfn.RANK.EQ(AC61,($C61,$G61,$K61,$O61,$S61,$W61),1)</f>
        <v>#VALUE!</v>
      </c>
      <c r="AE61" s="17"/>
      <c r="AF61" s="17" t="e">
        <f>_xlfn.RANK.EQ(AE61,($C61,$G61,$K61,$O61,$S61,$W61,$AA61,$AE61,$AI61,$AM61),1)</f>
        <v>#N/A</v>
      </c>
      <c r="AG61" s="33" t="str">
        <f t="shared" si="8"/>
        <v/>
      </c>
      <c r="AH61" s="17" t="e">
        <f>_xlfn.RANK.EQ(AG61,($C61,$G61,$K61,$O61,$S61,$W61),1)</f>
        <v>#VALUE!</v>
      </c>
      <c r="AI61" s="17"/>
      <c r="AJ61" s="17" t="e">
        <f>_xlfn.RANK.EQ(AI61,($C61,$G61,$K61,$O61,$S61,$W61,$AA61,$AE61,$AI61,$AM61),1)</f>
        <v>#N/A</v>
      </c>
      <c r="AK61" s="33" t="str">
        <f t="shared" si="1"/>
        <v/>
      </c>
      <c r="AL61" s="17" t="e">
        <f>_xlfn.RANK.EQ(AK61,($C61,$G61,$K61,$O61,$S61,$W61),1)</f>
        <v>#VALUE!</v>
      </c>
      <c r="AM61" s="17"/>
      <c r="AN61" s="17" t="e">
        <f>_xlfn.RANK.EQ(AM61,($C61,$G61,$K61,$O61,$S61,$W61,$AA61,$AE61,$AI61,$AM61),1)</f>
        <v>#N/A</v>
      </c>
      <c r="AO61" s="33" t="str">
        <f t="shared" si="9"/>
        <v/>
      </c>
      <c r="AP61" s="17" t="e">
        <f>_xlfn.RANK.EQ(AO61,($C61,$G61,$K61,$O61,$S61,$W61),1)</f>
        <v>#VALUE!</v>
      </c>
    </row>
    <row r="62" spans="1:42" x14ac:dyDescent="0.3">
      <c r="A62" s="77"/>
      <c r="B62" s="31" t="s">
        <v>63</v>
      </c>
      <c r="C62" s="33"/>
      <c r="D62" s="17" t="e">
        <f>_xlfn.RANK.EQ(C62,($C62,$G62,$K62,$O62,$S62,$W62,$AB62,$AF62,$AJ62,$AN62),1)</f>
        <v>#N/A</v>
      </c>
      <c r="E62" s="33" t="str">
        <f t="shared" si="2"/>
        <v/>
      </c>
      <c r="F62" s="17" t="e">
        <f>_xlfn.RANK.EQ(E62,($C62,$G62,$K62,$O62,$S62,$W62),1)</f>
        <v>#VALUE!</v>
      </c>
      <c r="G62" s="17"/>
      <c r="H62" s="17" t="e">
        <f>_xlfn.RANK.EQ(G62,($C62,$G62,$K62,$O62,$S62,$W62,$AA62,$AE62,$AI62,$AM62),1)</f>
        <v>#N/A</v>
      </c>
      <c r="I62" s="33" t="str">
        <f t="shared" si="4"/>
        <v/>
      </c>
      <c r="J62" s="17" t="e">
        <f>_xlfn.RANK.EQ(I62,($C62,$G62,$K62,$O62,$S62,$W62),1)</f>
        <v>#VALUE!</v>
      </c>
      <c r="K62" s="17"/>
      <c r="L62" s="17" t="e">
        <f>_xlfn.RANK.EQ(K62,($C62,$G62,$K62,$O62,$S62,$W62,$AA62,$AE62,$AI62,$AM62),1)</f>
        <v>#N/A</v>
      </c>
      <c r="M62" s="33" t="str">
        <f t="shared" si="5"/>
        <v/>
      </c>
      <c r="N62" s="17" t="e">
        <f>_xlfn.RANK.EQ(M62,($C62,$G62,$K62,$O62,$S62,$W62),1)</f>
        <v>#VALUE!</v>
      </c>
      <c r="O62" s="17"/>
      <c r="P62" s="17" t="e">
        <f>_xlfn.RANK.EQ(O62,($C62,$G62,$K62,$O62,$S62,$W62,$AA62,$AE62,$AI62,$AM62),1)</f>
        <v>#N/A</v>
      </c>
      <c r="Q62" s="33" t="str">
        <f t="shared" si="6"/>
        <v/>
      </c>
      <c r="R62" s="17" t="e">
        <f>_xlfn.RANK.EQ(Q62,($C62,$G62,$K62,$O62,$S62,$W62),1)</f>
        <v>#VALUE!</v>
      </c>
      <c r="S62" s="17"/>
      <c r="T62" s="17" t="e">
        <f>_xlfn.RANK.EQ(S62,($C62,$G62,$K62,$O62,$S62,$W62,$AA62,$AE62,$AI62,$AM62),0)</f>
        <v>#N/A</v>
      </c>
      <c r="U62" s="33" t="str">
        <f t="shared" si="0"/>
        <v/>
      </c>
      <c r="V62" s="17" t="e">
        <f>_xlfn.RANK.EQ(U62,($C62,$G62,$K62,$O62,$S62,$W62),1)</f>
        <v>#VALUE!</v>
      </c>
      <c r="W62" s="17"/>
      <c r="X62" s="17" t="e">
        <f>_xlfn.RANK.EQ(W62,($C62,$G62,$K62,$O62,$S62,$W62,$AA62,$AE62,$AI62,$AM62),1)</f>
        <v>#N/A</v>
      </c>
      <c r="Y62" s="33" t="str">
        <f t="shared" si="3"/>
        <v/>
      </c>
      <c r="Z62" s="17" t="e">
        <f>_xlfn.RANK.EQ(Y62,($C62,$G62,$K62,$O62,$S62,$W62),1)</f>
        <v>#VALUE!</v>
      </c>
      <c r="AA62" s="17"/>
      <c r="AB62" s="17" t="e">
        <f>_xlfn.RANK.EQ(AA62,($C62,$G62,$K62,$O62,$S62,$W62,$AA62,$AE62,$AI62,$AM62),1)</f>
        <v>#N/A</v>
      </c>
      <c r="AC62" s="33" t="str">
        <f t="shared" si="7"/>
        <v/>
      </c>
      <c r="AD62" s="17" t="e">
        <f>_xlfn.RANK.EQ(AC62,($C62,$G62,$K62,$O62,$S62,$W62),1)</f>
        <v>#VALUE!</v>
      </c>
      <c r="AE62" s="17"/>
      <c r="AF62" s="17" t="e">
        <f>_xlfn.RANK.EQ(AE62,($C62,$G62,$K62,$O62,$S62,$W62,$AA62,$AE62,$AI62,$AM62),1)</f>
        <v>#N/A</v>
      </c>
      <c r="AG62" s="33" t="str">
        <f t="shared" si="8"/>
        <v/>
      </c>
      <c r="AH62" s="17" t="e">
        <f>_xlfn.RANK.EQ(AG62,($C62,$G62,$K62,$O62,$S62,$W62),1)</f>
        <v>#VALUE!</v>
      </c>
      <c r="AI62" s="17"/>
      <c r="AJ62" s="17" t="e">
        <f>_xlfn.RANK.EQ(AI62,($C62,$G62,$K62,$O62,$S62,$W62,$AA62,$AE62,$AI62,$AM62),1)</f>
        <v>#N/A</v>
      </c>
      <c r="AK62" s="33" t="str">
        <f t="shared" si="1"/>
        <v/>
      </c>
      <c r="AL62" s="17" t="e">
        <f>_xlfn.RANK.EQ(AK62,($C62,$G62,$K62,$O62,$S62,$W62),1)</f>
        <v>#VALUE!</v>
      </c>
      <c r="AM62" s="17"/>
      <c r="AN62" s="17" t="e">
        <f>_xlfn.RANK.EQ(AM62,($C62,$G62,$K62,$O62,$S62,$W62,$AA62,$AE62,$AI62,$AM62),1)</f>
        <v>#N/A</v>
      </c>
      <c r="AO62" s="33" t="str">
        <f t="shared" si="9"/>
        <v/>
      </c>
      <c r="AP62" s="17" t="e">
        <f>_xlfn.RANK.EQ(AO62,($C62,$G62,$K62,$O62,$S62,$W62),1)</f>
        <v>#VALUE!</v>
      </c>
    </row>
    <row r="63" spans="1:42" x14ac:dyDescent="0.3">
      <c r="A63" s="77">
        <v>18</v>
      </c>
      <c r="B63" s="31" t="s">
        <v>61</v>
      </c>
      <c r="C63" s="33"/>
      <c r="D63" s="17" t="e">
        <f>_xlfn.RANK.EQ(C63,($C63,$G63,$K63,$O63,$S63,$W63,$AB63,$AF63,$AJ63,$AN63),1)</f>
        <v>#N/A</v>
      </c>
      <c r="E63" s="33" t="str">
        <f t="shared" si="2"/>
        <v/>
      </c>
      <c r="F63" s="17" t="e">
        <f>_xlfn.RANK.EQ(E63,($C63,$G63,$K63,$O63,$S63,$W63),1)</f>
        <v>#VALUE!</v>
      </c>
      <c r="G63" s="17"/>
      <c r="H63" s="17" t="e">
        <f>_xlfn.RANK.EQ(G63,($C63,$G63,$K63,$O63,$S63,$W63,$AA63,$AE63,$AI63,$AM63),1)</f>
        <v>#N/A</v>
      </c>
      <c r="I63" s="33" t="str">
        <f t="shared" si="4"/>
        <v/>
      </c>
      <c r="J63" s="17" t="e">
        <f>_xlfn.RANK.EQ(I63,($C63,$G63,$K63,$O63,$S63,$W63),1)</f>
        <v>#VALUE!</v>
      </c>
      <c r="K63" s="17"/>
      <c r="L63" s="17" t="e">
        <f>_xlfn.RANK.EQ(K63,($C63,$G63,$K63,$O63,$S63,$W63,$AA63,$AE63,$AI63,$AM63),1)</f>
        <v>#N/A</v>
      </c>
      <c r="M63" s="33" t="str">
        <f t="shared" si="5"/>
        <v/>
      </c>
      <c r="N63" s="17" t="e">
        <f>_xlfn.RANK.EQ(M63,($C63,$G63,$K63,$O63,$S63,$W63),1)</f>
        <v>#VALUE!</v>
      </c>
      <c r="O63" s="17"/>
      <c r="P63" s="17" t="e">
        <f>_xlfn.RANK.EQ(O63,($C63,$G63,$K63,$O63,$S63,$W63,$AA63,$AE63,$AI63,$AM63),1)</f>
        <v>#N/A</v>
      </c>
      <c r="Q63" s="33" t="str">
        <f t="shared" si="6"/>
        <v/>
      </c>
      <c r="R63" s="17" t="e">
        <f>_xlfn.RANK.EQ(Q63,($C63,$G63,$K63,$O63,$S63,$W63),1)</f>
        <v>#VALUE!</v>
      </c>
      <c r="S63" s="17"/>
      <c r="T63" s="17" t="e">
        <f>_xlfn.RANK.EQ(S63,($C63,$G63,$K63,$O63,$S63,$W63,$AA63,$AE63,$AI63,$AM63),0)</f>
        <v>#N/A</v>
      </c>
      <c r="U63" s="33" t="str">
        <f t="shared" si="0"/>
        <v/>
      </c>
      <c r="V63" s="17" t="e">
        <f>_xlfn.RANK.EQ(U63,($C63,$G63,$K63,$O63,$S63,$W63),1)</f>
        <v>#VALUE!</v>
      </c>
      <c r="W63" s="17"/>
      <c r="X63" s="17" t="e">
        <f>_xlfn.RANK.EQ(W63,($C63,$G63,$K63,$O63,$S63,$W63,$AA63,$AE63,$AI63,$AM63),1)</f>
        <v>#N/A</v>
      </c>
      <c r="Y63" s="33" t="str">
        <f t="shared" si="3"/>
        <v/>
      </c>
      <c r="Z63" s="17" t="e">
        <f>_xlfn.RANK.EQ(Y63,($C63,$G63,$K63,$O63,$S63,$W63),1)</f>
        <v>#VALUE!</v>
      </c>
      <c r="AA63" s="17"/>
      <c r="AB63" s="17" t="e">
        <f>_xlfn.RANK.EQ(AA63,($C63,$G63,$K63,$O63,$S63,$W63,$AA63,$AE63,$AI63,$AM63),1)</f>
        <v>#N/A</v>
      </c>
      <c r="AC63" s="33" t="str">
        <f t="shared" si="7"/>
        <v/>
      </c>
      <c r="AD63" s="17" t="e">
        <f>_xlfn.RANK.EQ(AC63,($C63,$G63,$K63,$O63,$S63,$W63),1)</f>
        <v>#VALUE!</v>
      </c>
      <c r="AE63" s="17"/>
      <c r="AF63" s="17" t="e">
        <f>_xlfn.RANK.EQ(AE63,($C63,$G63,$K63,$O63,$S63,$W63,$AA63,$AE63,$AI63,$AM63),1)</f>
        <v>#N/A</v>
      </c>
      <c r="AG63" s="33" t="str">
        <f t="shared" si="8"/>
        <v/>
      </c>
      <c r="AH63" s="17" t="e">
        <f>_xlfn.RANK.EQ(AG63,($C63,$G63,$K63,$O63,$S63,$W63),1)</f>
        <v>#VALUE!</v>
      </c>
      <c r="AI63" s="17"/>
      <c r="AJ63" s="17" t="e">
        <f>_xlfn.RANK.EQ(AI63,($C63,$G63,$K63,$O63,$S63,$W63,$AA63,$AE63,$AI63,$AM63),1)</f>
        <v>#N/A</v>
      </c>
      <c r="AK63" s="33" t="str">
        <f t="shared" si="1"/>
        <v/>
      </c>
      <c r="AL63" s="17" t="e">
        <f>_xlfn.RANK.EQ(AK63,($C63,$G63,$K63,$O63,$S63,$W63),1)</f>
        <v>#VALUE!</v>
      </c>
      <c r="AM63" s="17"/>
      <c r="AN63" s="17" t="e">
        <f>_xlfn.RANK.EQ(AM63,($C63,$G63,$K63,$O63,$S63,$W63,$AA63,$AE63,$AI63,$AM63),1)</f>
        <v>#N/A</v>
      </c>
      <c r="AO63" s="33" t="str">
        <f t="shared" si="9"/>
        <v/>
      </c>
      <c r="AP63" s="17" t="e">
        <f>_xlfn.RANK.EQ(AO63,($C63,$G63,$K63,$O63,$S63,$W63),1)</f>
        <v>#VALUE!</v>
      </c>
    </row>
    <row r="64" spans="1:42" x14ac:dyDescent="0.3">
      <c r="A64" s="77"/>
      <c r="B64" s="31" t="s">
        <v>62</v>
      </c>
      <c r="C64" s="33"/>
      <c r="D64" s="17" t="e">
        <f>_xlfn.RANK.EQ(C64,($C64,$G64,$K64,$O64,$S64,$W64,$AB64,$AF64,$AJ64,$AN64),1)</f>
        <v>#N/A</v>
      </c>
      <c r="E64" s="33" t="str">
        <f t="shared" si="2"/>
        <v/>
      </c>
      <c r="F64" s="17"/>
      <c r="G64" s="17"/>
      <c r="H64" s="17" t="e">
        <f>_xlfn.RANK.EQ(G64,($C64,$G64,$K64,$O64,$S64,$W64,$AA64,$AE64,$AI64,$AM64),1)</f>
        <v>#N/A</v>
      </c>
      <c r="I64" s="33" t="str">
        <f t="shared" si="4"/>
        <v/>
      </c>
      <c r="J64" s="17"/>
      <c r="K64" s="17"/>
      <c r="L64" s="17" t="e">
        <f>_xlfn.RANK.EQ(K64,($C64,$G64,$K64,$O64,$S64,$W64,$AA64,$AE64,$AI64,$AM64),1)</f>
        <v>#N/A</v>
      </c>
      <c r="M64" s="33" t="str">
        <f t="shared" si="5"/>
        <v/>
      </c>
      <c r="N64" s="17"/>
      <c r="O64" s="17"/>
      <c r="P64" s="17" t="e">
        <f>_xlfn.RANK.EQ(O64,($C64,$G64,$K64,$O64,$S64,$W64,$AA64,$AE64,$AI64,$AM64),1)</f>
        <v>#N/A</v>
      </c>
      <c r="Q64" s="33" t="str">
        <f t="shared" si="6"/>
        <v/>
      </c>
      <c r="R64" s="17"/>
      <c r="S64" s="17"/>
      <c r="T64" s="17" t="e">
        <f>_xlfn.RANK.EQ(S64,($C64,$G64,$K64,$O64,$S64,$W64,$AA64,$AE64,$AI64,$AM64),0)</f>
        <v>#N/A</v>
      </c>
      <c r="U64" s="33" t="str">
        <f t="shared" si="0"/>
        <v/>
      </c>
      <c r="V64" s="17"/>
      <c r="W64" s="17"/>
      <c r="X64" s="17" t="e">
        <f>_xlfn.RANK.EQ(W64,($C64,$G64,$K64,$O64,$S64,$W64,$AA64,$AE64,$AI64,$AM64),1)</f>
        <v>#N/A</v>
      </c>
      <c r="Y64" s="33" t="str">
        <f t="shared" si="3"/>
        <v/>
      </c>
      <c r="Z64" s="17"/>
      <c r="AA64" s="17"/>
      <c r="AB64" s="17" t="e">
        <f>_xlfn.RANK.EQ(AA64,($C64,$G64,$K64,$O64,$S64,$W64,$AA64,$AE64,$AI64,$AM64),1)</f>
        <v>#N/A</v>
      </c>
      <c r="AC64" s="33" t="str">
        <f t="shared" si="7"/>
        <v/>
      </c>
      <c r="AD64" s="17"/>
      <c r="AE64" s="17"/>
      <c r="AF64" s="17" t="e">
        <f>_xlfn.RANK.EQ(AE64,($C64,$G64,$K64,$O64,$S64,$W64,$AA64,$AE64,$AI64,$AM64),1)</f>
        <v>#N/A</v>
      </c>
      <c r="AG64" s="33" t="str">
        <f t="shared" si="8"/>
        <v/>
      </c>
      <c r="AH64" s="17"/>
      <c r="AI64" s="17"/>
      <c r="AJ64" s="17" t="e">
        <f>_xlfn.RANK.EQ(AI64,($C64,$G64,$K64,$O64,$S64,$W64,$AA64,$AE64,$AI64,$AM64),1)</f>
        <v>#N/A</v>
      </c>
      <c r="AK64" s="33" t="str">
        <f t="shared" si="1"/>
        <v/>
      </c>
      <c r="AL64" s="17"/>
      <c r="AM64" s="17"/>
      <c r="AN64" s="17" t="e">
        <f>_xlfn.RANK.EQ(AM64,($C64,$G64,$K64,$O64,$S64,$W64,$AA64,$AE64,$AI64,$AM64),1)</f>
        <v>#N/A</v>
      </c>
      <c r="AO64" s="33" t="str">
        <f t="shared" si="9"/>
        <v/>
      </c>
      <c r="AP64" s="17"/>
    </row>
    <row r="65" spans="1:42" x14ac:dyDescent="0.3">
      <c r="A65" s="77"/>
      <c r="B65" s="31" t="s">
        <v>63</v>
      </c>
      <c r="C65" s="33"/>
      <c r="D65" s="17" t="e">
        <f>_xlfn.RANK.EQ(C65,($C65,$G65,$K65,$O65,$S65,$W65,$AB65,$AF65,$AJ65,$AN65),1)</f>
        <v>#N/A</v>
      </c>
      <c r="E65" s="33" t="str">
        <f t="shared" si="2"/>
        <v/>
      </c>
      <c r="F65" s="17"/>
      <c r="G65" s="17"/>
      <c r="H65" s="17" t="e">
        <f>_xlfn.RANK.EQ(G65,($C65,$G65,$K65,$O65,$S65,$W65,$AA65,$AE65,$AI65,$AM65),1)</f>
        <v>#N/A</v>
      </c>
      <c r="I65" s="33" t="str">
        <f t="shared" si="4"/>
        <v/>
      </c>
      <c r="J65" s="17"/>
      <c r="K65" s="17"/>
      <c r="L65" s="17" t="e">
        <f>_xlfn.RANK.EQ(K65,($C65,$G65,$K65,$O65,$S65,$W65,$AA65,$AE65,$AI65,$AM65),1)</f>
        <v>#N/A</v>
      </c>
      <c r="M65" s="33" t="str">
        <f t="shared" si="5"/>
        <v/>
      </c>
      <c r="N65" s="17"/>
      <c r="O65" s="17"/>
      <c r="P65" s="17" t="e">
        <f>_xlfn.RANK.EQ(O65,($C65,$G65,$K65,$O65,$S65,$W65,$AA65,$AE65,$AI65,$AM65),1)</f>
        <v>#N/A</v>
      </c>
      <c r="Q65" s="33" t="str">
        <f t="shared" si="6"/>
        <v/>
      </c>
      <c r="R65" s="17"/>
      <c r="S65" s="17"/>
      <c r="T65" s="17" t="e">
        <f>_xlfn.RANK.EQ(S65,($C65,$G65,$K65,$O65,$S65,$W65,$AA65,$AE65,$AI65,$AM65),0)</f>
        <v>#N/A</v>
      </c>
      <c r="U65" s="33" t="str">
        <f t="shared" si="0"/>
        <v/>
      </c>
      <c r="V65" s="17"/>
      <c r="W65" s="17"/>
      <c r="X65" s="17" t="e">
        <f>_xlfn.RANK.EQ(W65,($C65,$G65,$K65,$O65,$S65,$W65,$AA65,$AE65,$AI65,$AM65),1)</f>
        <v>#N/A</v>
      </c>
      <c r="Y65" s="33" t="str">
        <f t="shared" si="3"/>
        <v/>
      </c>
      <c r="Z65" s="17"/>
      <c r="AA65" s="17"/>
      <c r="AB65" s="17" t="e">
        <f>_xlfn.RANK.EQ(AA65,($C65,$G65,$K65,$O65,$S65,$W65,$AA65,$AE65,$AI65,$AM65),1)</f>
        <v>#N/A</v>
      </c>
      <c r="AC65" s="33" t="str">
        <f t="shared" si="7"/>
        <v/>
      </c>
      <c r="AD65" s="17"/>
      <c r="AE65" s="17"/>
      <c r="AF65" s="17" t="e">
        <f>_xlfn.RANK.EQ(AE65,($C65,$G65,$K65,$O65,$S65,$W65,$AA65,$AE65,$AI65,$AM65),1)</f>
        <v>#N/A</v>
      </c>
      <c r="AG65" s="33" t="str">
        <f t="shared" si="8"/>
        <v/>
      </c>
      <c r="AH65" s="17"/>
      <c r="AI65" s="17"/>
      <c r="AJ65" s="17" t="e">
        <f>_xlfn.RANK.EQ(AI65,($C65,$G65,$K65,$O65,$S65,$W65,$AA65,$AE65,$AI65,$AM65),1)</f>
        <v>#N/A</v>
      </c>
      <c r="AK65" s="33" t="str">
        <f t="shared" si="1"/>
        <v/>
      </c>
      <c r="AL65" s="17"/>
      <c r="AM65" s="17"/>
      <c r="AN65" s="17" t="e">
        <f>_xlfn.RANK.EQ(AM65,($C65,$G65,$K65,$O65,$S65,$W65,$AA65,$AE65,$AI65,$AM65),1)</f>
        <v>#N/A</v>
      </c>
      <c r="AO65" s="33" t="str">
        <f t="shared" si="9"/>
        <v/>
      </c>
      <c r="AP65" s="17"/>
    </row>
    <row r="66" spans="1:42" x14ac:dyDescent="0.3">
      <c r="A66" s="77">
        <v>19</v>
      </c>
      <c r="B66" s="31" t="s">
        <v>61</v>
      </c>
      <c r="C66" s="33"/>
      <c r="D66" s="17" t="e">
        <f>_xlfn.RANK.EQ(C66,($C66,$G66,$K66,$O66,$S66,$W66,$AB66,$AF66,$AJ66,$AN66),1)</f>
        <v>#N/A</v>
      </c>
      <c r="E66" s="33" t="str">
        <f t="shared" si="2"/>
        <v/>
      </c>
      <c r="F66" s="17"/>
      <c r="G66" s="17"/>
      <c r="H66" s="17" t="e">
        <f>_xlfn.RANK.EQ(G66,($C66,$G66,$K66,$O66,$S66,$W66,$AA66,$AE66,$AI66,$AM66),1)</f>
        <v>#N/A</v>
      </c>
      <c r="I66" s="33" t="str">
        <f t="shared" si="4"/>
        <v/>
      </c>
      <c r="J66" s="17"/>
      <c r="K66" s="17"/>
      <c r="L66" s="17" t="e">
        <f>_xlfn.RANK.EQ(K66,($C66,$G66,$K66,$O66,$S66,$W66,$AA66,$AE66,$AI66,$AM66),1)</f>
        <v>#N/A</v>
      </c>
      <c r="M66" s="33" t="str">
        <f t="shared" si="5"/>
        <v/>
      </c>
      <c r="N66" s="17"/>
      <c r="O66" s="17"/>
      <c r="P66" s="17" t="e">
        <f>_xlfn.RANK.EQ(O66,($C66,$G66,$K66,$O66,$S66,$W66,$AA66,$AE66,$AI66,$AM66),1)</f>
        <v>#N/A</v>
      </c>
      <c r="Q66" s="33" t="str">
        <f t="shared" si="6"/>
        <v/>
      </c>
      <c r="R66" s="17"/>
      <c r="S66" s="17"/>
      <c r="T66" s="17" t="e">
        <f>_xlfn.RANK.EQ(S66,($C66,$G66,$K66,$O66,$S66,$W66,$AA66,$AE66,$AI66,$AM66),0)</f>
        <v>#N/A</v>
      </c>
      <c r="U66" s="33" t="str">
        <f t="shared" si="0"/>
        <v/>
      </c>
      <c r="V66" s="17"/>
      <c r="W66" s="17"/>
      <c r="X66" s="17" t="e">
        <f>_xlfn.RANK.EQ(W66,($C66,$G66,$K66,$O66,$S66,$W66,$AA66,$AE66,$AI66,$AM66),1)</f>
        <v>#N/A</v>
      </c>
      <c r="Y66" s="33" t="str">
        <f t="shared" si="3"/>
        <v/>
      </c>
      <c r="Z66" s="17"/>
      <c r="AA66" s="17"/>
      <c r="AB66" s="17" t="e">
        <f>_xlfn.RANK.EQ(AA66,($C66,$G66,$K66,$O66,$S66,$W66,$AA66,$AE66,$AI66,$AM66),1)</f>
        <v>#N/A</v>
      </c>
      <c r="AC66" s="33" t="str">
        <f t="shared" si="7"/>
        <v/>
      </c>
      <c r="AD66" s="17"/>
      <c r="AE66" s="17"/>
      <c r="AF66" s="17" t="e">
        <f>_xlfn.RANK.EQ(AE66,($C66,$G66,$K66,$O66,$S66,$W66,$AA66,$AE66,$AI66,$AM66),1)</f>
        <v>#N/A</v>
      </c>
      <c r="AG66" s="33" t="str">
        <f t="shared" si="8"/>
        <v/>
      </c>
      <c r="AH66" s="17"/>
      <c r="AI66" s="17"/>
      <c r="AJ66" s="17" t="e">
        <f>_xlfn.RANK.EQ(AI66,($C66,$G66,$K66,$O66,$S66,$W66,$AA66,$AE66,$AI66,$AM66),1)</f>
        <v>#N/A</v>
      </c>
      <c r="AK66" s="33" t="str">
        <f t="shared" si="1"/>
        <v/>
      </c>
      <c r="AL66" s="17"/>
      <c r="AM66" s="17"/>
      <c r="AN66" s="17" t="e">
        <f>_xlfn.RANK.EQ(AM66,($C66,$G66,$K66,$O66,$S66,$W66,$AA66,$AE66,$AI66,$AM66),1)</f>
        <v>#N/A</v>
      </c>
      <c r="AO66" s="33" t="str">
        <f t="shared" si="9"/>
        <v/>
      </c>
      <c r="AP66" s="17"/>
    </row>
    <row r="67" spans="1:42" x14ac:dyDescent="0.3">
      <c r="A67" s="77"/>
      <c r="B67" s="31" t="s">
        <v>62</v>
      </c>
      <c r="C67" s="33"/>
      <c r="D67" s="17" t="e">
        <f>_xlfn.RANK.EQ(C67,($C67,$G67,$K67,$O67,$S67,$W67,$AB67,$AF67,$AJ67,$AN67),1)</f>
        <v>#N/A</v>
      </c>
      <c r="E67" s="33" t="str">
        <f t="shared" si="2"/>
        <v/>
      </c>
      <c r="F67" s="17"/>
      <c r="G67" s="17"/>
      <c r="H67" s="17" t="e">
        <f>_xlfn.RANK.EQ(G67,($C67,$G67,$K67,$O67,$S67,$W67,$AA67,$AE67,$AI67,$AM67),1)</f>
        <v>#N/A</v>
      </c>
      <c r="I67" s="33" t="str">
        <f t="shared" si="4"/>
        <v/>
      </c>
      <c r="J67" s="17"/>
      <c r="K67" s="17"/>
      <c r="L67" s="17" t="e">
        <f>_xlfn.RANK.EQ(K67,($C67,$G67,$K67,$O67,$S67,$W67,$AA67,$AE67,$AI67,$AM67),1)</f>
        <v>#N/A</v>
      </c>
      <c r="M67" s="33" t="str">
        <f t="shared" si="5"/>
        <v/>
      </c>
      <c r="N67" s="17"/>
      <c r="O67" s="17"/>
      <c r="P67" s="17" t="e">
        <f>_xlfn.RANK.EQ(O67,($C67,$G67,$K67,$O67,$S67,$W67,$AA67,$AE67,$AI67,$AM67),1)</f>
        <v>#N/A</v>
      </c>
      <c r="Q67" s="33" t="str">
        <f t="shared" si="6"/>
        <v/>
      </c>
      <c r="R67" s="17"/>
      <c r="S67" s="17"/>
      <c r="T67" s="17" t="e">
        <f>_xlfn.RANK.EQ(S67,($C67,$G67,$K67,$O67,$S67,$W67,$AA67,$AE67,$AI67,$AM67),0)</f>
        <v>#N/A</v>
      </c>
      <c r="U67" s="33" t="str">
        <f t="shared" si="0"/>
        <v/>
      </c>
      <c r="V67" s="17"/>
      <c r="W67" s="17"/>
      <c r="X67" s="17" t="e">
        <f>_xlfn.RANK.EQ(W67,($C67,$G67,$K67,$O67,$S67,$W67,$AA67,$AE67,$AI67,$AM67),1)</f>
        <v>#N/A</v>
      </c>
      <c r="Y67" s="33" t="str">
        <f t="shared" si="3"/>
        <v/>
      </c>
      <c r="Z67" s="17"/>
      <c r="AA67" s="17"/>
      <c r="AB67" s="17" t="e">
        <f>_xlfn.RANK.EQ(AA67,($C67,$G67,$K67,$O67,$S67,$W67,$AA67,$AE67,$AI67,$AM67),1)</f>
        <v>#N/A</v>
      </c>
      <c r="AC67" s="33" t="str">
        <f t="shared" si="7"/>
        <v/>
      </c>
      <c r="AD67" s="17"/>
      <c r="AE67" s="17"/>
      <c r="AF67" s="17" t="e">
        <f>_xlfn.RANK.EQ(AE67,($C67,$G67,$K67,$O67,$S67,$W67,$AA67,$AE67,$AI67,$AM67),1)</f>
        <v>#N/A</v>
      </c>
      <c r="AG67" s="33" t="str">
        <f t="shared" si="8"/>
        <v/>
      </c>
      <c r="AH67" s="17"/>
      <c r="AI67" s="17"/>
      <c r="AJ67" s="17" t="e">
        <f>_xlfn.RANK.EQ(AI67,($C67,$G67,$K67,$O67,$S67,$W67,$AA67,$AE67,$AI67,$AM67),1)</f>
        <v>#N/A</v>
      </c>
      <c r="AK67" s="33" t="str">
        <f t="shared" si="1"/>
        <v/>
      </c>
      <c r="AL67" s="17"/>
      <c r="AM67" s="17"/>
      <c r="AN67" s="17" t="e">
        <f>_xlfn.RANK.EQ(AM67,($C67,$G67,$K67,$O67,$S67,$W67,$AA67,$AE67,$AI67,$AM67),1)</f>
        <v>#N/A</v>
      </c>
      <c r="AO67" s="33" t="str">
        <f t="shared" si="9"/>
        <v/>
      </c>
      <c r="AP67" s="17"/>
    </row>
    <row r="68" spans="1:42" x14ac:dyDescent="0.3">
      <c r="A68" s="77"/>
      <c r="B68" s="31" t="s">
        <v>63</v>
      </c>
      <c r="C68" s="33"/>
      <c r="D68" s="17" t="e">
        <f>_xlfn.RANK.EQ(C68,($C68,$G68,$K68,$O68,$S68,$W68,$AB68,$AF68,$AJ68,$AN68),1)</f>
        <v>#N/A</v>
      </c>
      <c r="E68" s="33" t="str">
        <f t="shared" si="2"/>
        <v/>
      </c>
      <c r="F68" s="17"/>
      <c r="G68" s="17"/>
      <c r="H68" s="17" t="e">
        <f>_xlfn.RANK.EQ(G68,($C68,$G68,$K68,$O68,$S68,$W68,$AA68,$AE68,$AI68,$AM68),1)</f>
        <v>#N/A</v>
      </c>
      <c r="I68" s="33" t="str">
        <f t="shared" si="4"/>
        <v/>
      </c>
      <c r="J68" s="17"/>
      <c r="K68" s="17"/>
      <c r="L68" s="17" t="e">
        <f>_xlfn.RANK.EQ(K68,($C68,$G68,$K68,$O68,$S68,$W68,$AA68,$AE68,$AI68,$AM68),1)</f>
        <v>#N/A</v>
      </c>
      <c r="M68" s="33" t="str">
        <f t="shared" si="5"/>
        <v/>
      </c>
      <c r="N68" s="17"/>
      <c r="O68" s="17"/>
      <c r="P68" s="17" t="e">
        <f>_xlfn.RANK.EQ(O68,($C68,$G68,$K68,$O68,$S68,$W68,$AA68,$AE68,$AI68,$AM68),1)</f>
        <v>#N/A</v>
      </c>
      <c r="Q68" s="33" t="str">
        <f t="shared" si="6"/>
        <v/>
      </c>
      <c r="R68" s="17"/>
      <c r="S68" s="17"/>
      <c r="T68" s="17" t="e">
        <f>_xlfn.RANK.EQ(S68,($C68,$G68,$K68,$O68,$S68,$W68,$AA68,$AE68,$AI68,$AM68),0)</f>
        <v>#N/A</v>
      </c>
      <c r="U68" s="33" t="str">
        <f t="shared" si="0"/>
        <v/>
      </c>
      <c r="V68" s="17"/>
      <c r="W68" s="17"/>
      <c r="X68" s="17" t="e">
        <f>_xlfn.RANK.EQ(W68,($C68,$G68,$K68,$O68,$S68,$W68,$AA68,$AE68,$AI68,$AM68),1)</f>
        <v>#N/A</v>
      </c>
      <c r="Y68" s="33" t="str">
        <f t="shared" si="3"/>
        <v/>
      </c>
      <c r="Z68" s="17"/>
      <c r="AA68" s="17"/>
      <c r="AB68" s="17" t="e">
        <f>_xlfn.RANK.EQ(AA68,($C68,$G68,$K68,$O68,$S68,$W68,$AA68,$AE68,$AI68,$AM68),1)</f>
        <v>#N/A</v>
      </c>
      <c r="AC68" s="33" t="str">
        <f t="shared" si="7"/>
        <v/>
      </c>
      <c r="AD68" s="17"/>
      <c r="AE68" s="17"/>
      <c r="AF68" s="17" t="e">
        <f>_xlfn.RANK.EQ(AE68,($C68,$G68,$K68,$O68,$S68,$W68,$AA68,$AE68,$AI68,$AM68),1)</f>
        <v>#N/A</v>
      </c>
      <c r="AG68" s="33" t="str">
        <f t="shared" si="8"/>
        <v/>
      </c>
      <c r="AH68" s="17"/>
      <c r="AI68" s="17"/>
      <c r="AJ68" s="17" t="e">
        <f>_xlfn.RANK.EQ(AI68,($C68,$G68,$K68,$O68,$S68,$W68,$AA68,$AE68,$AI68,$AM68),1)</f>
        <v>#N/A</v>
      </c>
      <c r="AK68" s="33" t="str">
        <f t="shared" si="1"/>
        <v/>
      </c>
      <c r="AL68" s="17"/>
      <c r="AM68" s="17"/>
      <c r="AN68" s="17" t="e">
        <f>_xlfn.RANK.EQ(AM68,($C68,$G68,$K68,$O68,$S68,$W68,$AA68,$AE68,$AI68,$AM68),1)</f>
        <v>#N/A</v>
      </c>
      <c r="AO68" s="33" t="str">
        <f t="shared" si="9"/>
        <v/>
      </c>
      <c r="AP68" s="17"/>
    </row>
    <row r="69" spans="1:42" x14ac:dyDescent="0.3">
      <c r="A69" s="77">
        <v>20</v>
      </c>
      <c r="B69" s="31" t="s">
        <v>61</v>
      </c>
      <c r="C69" s="33"/>
      <c r="D69" s="17" t="e">
        <f>_xlfn.RANK.EQ(C69,($C69,$G69,$K69,$O69,$S69,$W69,$AB69,$AF69,$AJ69,$AN69),1)</f>
        <v>#N/A</v>
      </c>
      <c r="E69" s="33" t="str">
        <f t="shared" si="2"/>
        <v/>
      </c>
      <c r="F69" s="17"/>
      <c r="G69" s="17"/>
      <c r="H69" s="17" t="e">
        <f>_xlfn.RANK.EQ(G69,($C69,$G69,$K69,$O69,$S69,$W69,$AA69,$AE69,$AI69,$AM69),1)</f>
        <v>#N/A</v>
      </c>
      <c r="I69" s="33" t="str">
        <f t="shared" si="4"/>
        <v/>
      </c>
      <c r="J69" s="17"/>
      <c r="K69" s="17"/>
      <c r="L69" s="17" t="e">
        <f>_xlfn.RANK.EQ(K69,($C69,$G69,$K69,$O69,$S69,$W69,$AA69,$AE69,$AI69,$AM69),1)</f>
        <v>#N/A</v>
      </c>
      <c r="M69" s="33" t="str">
        <f t="shared" si="5"/>
        <v/>
      </c>
      <c r="N69" s="17"/>
      <c r="O69" s="17"/>
      <c r="P69" s="17" t="e">
        <f>_xlfn.RANK.EQ(O69,($C69,$G69,$K69,$O69,$S69,$W69,$AA69,$AE69,$AI69,$AM69),1)</f>
        <v>#N/A</v>
      </c>
      <c r="Q69" s="33" t="str">
        <f t="shared" si="6"/>
        <v/>
      </c>
      <c r="R69" s="17"/>
      <c r="S69" s="17"/>
      <c r="T69" s="17" t="e">
        <f>_xlfn.RANK.EQ(S69,($C69,$G69,$K69,$O69,$S69,$W69,$AA69,$AE69,$AI69,$AM69),0)</f>
        <v>#N/A</v>
      </c>
      <c r="U69" s="33" t="str">
        <f t="shared" si="0"/>
        <v/>
      </c>
      <c r="V69" s="17"/>
      <c r="W69" s="17"/>
      <c r="X69" s="17" t="e">
        <f>_xlfn.RANK.EQ(W69,($C69,$G69,$K69,$O69,$S69,$W69,$AA69,$AE69,$AI69,$AM69),1)</f>
        <v>#N/A</v>
      </c>
      <c r="Y69" s="33" t="str">
        <f t="shared" si="3"/>
        <v/>
      </c>
      <c r="Z69" s="17"/>
      <c r="AA69" s="17"/>
      <c r="AB69" s="17" t="e">
        <f>_xlfn.RANK.EQ(AA69,($C69,$G69,$K69,$O69,$S69,$W69,$AA69,$AE69,$AI69,$AM69),1)</f>
        <v>#N/A</v>
      </c>
      <c r="AC69" s="33" t="str">
        <f t="shared" si="7"/>
        <v/>
      </c>
      <c r="AD69" s="17"/>
      <c r="AE69" s="17"/>
      <c r="AF69" s="17" t="e">
        <f>_xlfn.RANK.EQ(AE69,($C69,$G69,$K69,$O69,$S69,$W69,$AA69,$AE69,$AI69,$AM69),1)</f>
        <v>#N/A</v>
      </c>
      <c r="AG69" s="33" t="str">
        <f t="shared" si="8"/>
        <v/>
      </c>
      <c r="AH69" s="17"/>
      <c r="AI69" s="17"/>
      <c r="AJ69" s="17" t="e">
        <f>_xlfn.RANK.EQ(AI69,($C69,$G69,$K69,$O69,$S69,$W69,$AA69,$AE69,$AI69,$AM69),1)</f>
        <v>#N/A</v>
      </c>
      <c r="AK69" s="33" t="str">
        <f t="shared" si="1"/>
        <v/>
      </c>
      <c r="AL69" s="17"/>
      <c r="AM69" s="17"/>
      <c r="AN69" s="17" t="e">
        <f>_xlfn.RANK.EQ(AM69,($C69,$G69,$K69,$O69,$S69,$W69,$AA69,$AE69,$AI69,$AM69),1)</f>
        <v>#N/A</v>
      </c>
      <c r="AO69" s="33" t="str">
        <f t="shared" si="9"/>
        <v/>
      </c>
      <c r="AP69" s="17"/>
    </row>
    <row r="70" spans="1:42" x14ac:dyDescent="0.3">
      <c r="A70" s="77"/>
      <c r="B70" s="31" t="s">
        <v>62</v>
      </c>
      <c r="C70" s="33"/>
      <c r="D70" s="17" t="e">
        <f>_xlfn.RANK.EQ(C70,($C70,$G70,$K70,$O70,$S70,$W70,$AB70,$AF70,$AJ70,$AN70),1)</f>
        <v>#N/A</v>
      </c>
      <c r="E70" s="33" t="str">
        <f t="shared" si="2"/>
        <v/>
      </c>
      <c r="F70" s="17"/>
      <c r="G70" s="17"/>
      <c r="H70" s="17" t="e">
        <f>_xlfn.RANK.EQ(G70,($C70,$G70,$K70,$O70,$S70,$W70,$AA70,$AE70,$AI70,$AM70),1)</f>
        <v>#N/A</v>
      </c>
      <c r="I70" s="33" t="str">
        <f t="shared" si="4"/>
        <v/>
      </c>
      <c r="J70" s="17"/>
      <c r="K70" s="17"/>
      <c r="L70" s="17" t="e">
        <f>_xlfn.RANK.EQ(K70,($C70,$G70,$K70,$O70,$S70,$W70,$AA70,$AE70,$AI70,$AM70),1)</f>
        <v>#N/A</v>
      </c>
      <c r="M70" s="33" t="str">
        <f t="shared" si="5"/>
        <v/>
      </c>
      <c r="N70" s="17"/>
      <c r="O70" s="17"/>
      <c r="P70" s="17" t="e">
        <f>_xlfn.RANK.EQ(O70,($C70,$G70,$K70,$O70,$S70,$W70,$AA70,$AE70,$AI70,$AM70),1)</f>
        <v>#N/A</v>
      </c>
      <c r="Q70" s="33" t="str">
        <f t="shared" si="6"/>
        <v/>
      </c>
      <c r="R70" s="17"/>
      <c r="S70" s="17"/>
      <c r="T70" s="17" t="e">
        <f>_xlfn.RANK.EQ(S70,($C70,$G70,$K70,$O70,$S70,$W70,$AA70,$AE70,$AI70,$AM70),0)</f>
        <v>#N/A</v>
      </c>
      <c r="U70" s="33" t="str">
        <f t="shared" si="0"/>
        <v/>
      </c>
      <c r="V70" s="17"/>
      <c r="W70" s="17"/>
      <c r="X70" s="17" t="e">
        <f>_xlfn.RANK.EQ(W70,($C70,$G70,$K70,$O70,$S70,$W70,$AA70,$AE70,$AI70,$AM70),1)</f>
        <v>#N/A</v>
      </c>
      <c r="Y70" s="33" t="str">
        <f t="shared" si="3"/>
        <v/>
      </c>
      <c r="Z70" s="17"/>
      <c r="AA70" s="17"/>
      <c r="AB70" s="17" t="e">
        <f>_xlfn.RANK.EQ(AA70,($C70,$G70,$K70,$O70,$S70,$W70,$AA70,$AE70,$AI70,$AM70),1)</f>
        <v>#N/A</v>
      </c>
      <c r="AC70" s="33" t="str">
        <f t="shared" si="7"/>
        <v/>
      </c>
      <c r="AD70" s="17"/>
      <c r="AE70" s="17"/>
      <c r="AF70" s="17" t="e">
        <f>_xlfn.RANK.EQ(AE70,($C70,$G70,$K70,$O70,$S70,$W70,$AA70,$AE70,$AI70,$AM70),1)</f>
        <v>#N/A</v>
      </c>
      <c r="AG70" s="33" t="str">
        <f t="shared" si="8"/>
        <v/>
      </c>
      <c r="AH70" s="17"/>
      <c r="AI70" s="17"/>
      <c r="AJ70" s="17" t="e">
        <f>_xlfn.RANK.EQ(AI70,($C70,$G70,$K70,$O70,$S70,$W70,$AA70,$AE70,$AI70,$AM70),1)</f>
        <v>#N/A</v>
      </c>
      <c r="AK70" s="33" t="str">
        <f t="shared" si="1"/>
        <v/>
      </c>
      <c r="AL70" s="17"/>
      <c r="AM70" s="17"/>
      <c r="AN70" s="17" t="e">
        <f>_xlfn.RANK.EQ(AM70,($C70,$G70,$K70,$O70,$S70,$W70,$AA70,$AE70,$AI70,$AM70),1)</f>
        <v>#N/A</v>
      </c>
      <c r="AO70" s="33" t="str">
        <f t="shared" si="9"/>
        <v/>
      </c>
      <c r="AP70" s="17"/>
    </row>
    <row r="71" spans="1:42" x14ac:dyDescent="0.3">
      <c r="A71" s="77"/>
      <c r="B71" s="31" t="s">
        <v>63</v>
      </c>
      <c r="C71" s="33"/>
      <c r="D71" s="17" t="e">
        <f>_xlfn.RANK.EQ(C71,($C71,$G71,$K71,$O71,$S71,$W71,$AB71,$AF71,$AJ71,$AN71),1)</f>
        <v>#N/A</v>
      </c>
      <c r="E71" s="33" t="str">
        <f t="shared" si="2"/>
        <v/>
      </c>
      <c r="F71" s="17"/>
      <c r="G71" s="17"/>
      <c r="H71" s="17" t="e">
        <f>_xlfn.RANK.EQ(G71,($C71,$G71,$K71,$O71,$S71,$W71,$AA71,$AE71,$AI71,$AM71),1)</f>
        <v>#N/A</v>
      </c>
      <c r="I71" s="33" t="str">
        <f t="shared" si="4"/>
        <v/>
      </c>
      <c r="J71" s="17"/>
      <c r="K71" s="17"/>
      <c r="L71" s="17" t="e">
        <f>_xlfn.RANK.EQ(K71,($C71,$G71,$K71,$O71,$S71,$W71,$AA71,$AE71,$AI71,$AM71),1)</f>
        <v>#N/A</v>
      </c>
      <c r="M71" s="33" t="str">
        <f t="shared" si="5"/>
        <v/>
      </c>
      <c r="N71" s="17"/>
      <c r="O71" s="17"/>
      <c r="P71" s="17" t="e">
        <f>_xlfn.RANK.EQ(O71,($C71,$G71,$K71,$O71,$S71,$W71,$AA71,$AE71,$AI71,$AM71),1)</f>
        <v>#N/A</v>
      </c>
      <c r="Q71" s="33" t="str">
        <f t="shared" si="6"/>
        <v/>
      </c>
      <c r="R71" s="17"/>
      <c r="S71" s="17"/>
      <c r="T71" s="17" t="e">
        <f>_xlfn.RANK.EQ(S71,($C71,$G71,$K71,$O71,$S71,$W71,$AA71,$AE71,$AI71,$AM71),0)</f>
        <v>#N/A</v>
      </c>
      <c r="U71" s="33" t="str">
        <f t="shared" si="0"/>
        <v/>
      </c>
      <c r="V71" s="17"/>
      <c r="W71" s="17"/>
      <c r="X71" s="17" t="e">
        <f>_xlfn.RANK.EQ(W71,($C71,$G71,$K71,$O71,$S71,$W71,$AA71,$AE71,$AI71,$AM71),1)</f>
        <v>#N/A</v>
      </c>
      <c r="Y71" s="33" t="str">
        <f t="shared" si="3"/>
        <v/>
      </c>
      <c r="Z71" s="17"/>
      <c r="AA71" s="17"/>
      <c r="AB71" s="17" t="e">
        <f>_xlfn.RANK.EQ(AA71,($C71,$G71,$K71,$O71,$S71,$W71,$AA71,$AE71,$AI71,$AM71),1)</f>
        <v>#N/A</v>
      </c>
      <c r="AC71" s="33" t="str">
        <f t="shared" si="7"/>
        <v/>
      </c>
      <c r="AD71" s="17"/>
      <c r="AE71" s="17"/>
      <c r="AF71" s="17" t="e">
        <f>_xlfn.RANK.EQ(AE71,($C71,$G71,$K71,$O71,$S71,$W71,$AA71,$AE71,$AI71,$AM71),1)</f>
        <v>#N/A</v>
      </c>
      <c r="AG71" s="33" t="str">
        <f t="shared" si="8"/>
        <v/>
      </c>
      <c r="AH71" s="17"/>
      <c r="AI71" s="17"/>
      <c r="AJ71" s="17" t="e">
        <f>_xlfn.RANK.EQ(AI71,($C71,$G71,$K71,$O71,$S71,$W71,$AA71,$AE71,$AI71,$AM71),1)</f>
        <v>#N/A</v>
      </c>
      <c r="AK71" s="33" t="str">
        <f t="shared" si="1"/>
        <v/>
      </c>
      <c r="AL71" s="17"/>
      <c r="AM71" s="17"/>
      <c r="AN71" s="17" t="e">
        <f>_xlfn.RANK.EQ(AM71,($C71,$G71,$K71,$O71,$S71,$W71,$AA71,$AE71,$AI71,$AM71),1)</f>
        <v>#N/A</v>
      </c>
      <c r="AO71" s="33" t="str">
        <f t="shared" si="9"/>
        <v/>
      </c>
      <c r="AP71" s="17"/>
    </row>
    <row r="72" spans="1:42" x14ac:dyDescent="0.3">
      <c r="A72" s="77">
        <v>21</v>
      </c>
      <c r="B72" s="31" t="s">
        <v>61</v>
      </c>
      <c r="C72" s="33"/>
      <c r="D72" s="17" t="e">
        <f>_xlfn.RANK.EQ(C72,($C72,$G72,$K72,$O72,$S72,$W72,$AB72,$AF72,$AJ72,$AN72),1)</f>
        <v>#N/A</v>
      </c>
      <c r="E72" s="33" t="str">
        <f t="shared" si="2"/>
        <v/>
      </c>
      <c r="F72" s="17"/>
      <c r="G72" s="17"/>
      <c r="H72" s="17" t="e">
        <f>_xlfn.RANK.EQ(G72,($C72,$G72,$K72,$O72,$S72,$W72,$AA72,$AE72,$AI72,$AM72),1)</f>
        <v>#N/A</v>
      </c>
      <c r="I72" s="33" t="str">
        <f t="shared" si="4"/>
        <v/>
      </c>
      <c r="J72" s="17"/>
      <c r="K72" s="17"/>
      <c r="L72" s="17" t="e">
        <f>_xlfn.RANK.EQ(K72,($C72,$G72,$K72,$O72,$S72,$W72,$AA72,$AE72,$AI72,$AM72),1)</f>
        <v>#N/A</v>
      </c>
      <c r="M72" s="33" t="str">
        <f t="shared" si="5"/>
        <v/>
      </c>
      <c r="N72" s="17"/>
      <c r="O72" s="17"/>
      <c r="P72" s="17" t="e">
        <f>_xlfn.RANK.EQ(O72,($C72,$G72,$K72,$O72,$S72,$W72,$AA72,$AE72,$AI72,$AM72),1)</f>
        <v>#N/A</v>
      </c>
      <c r="Q72" s="33" t="str">
        <f t="shared" si="6"/>
        <v/>
      </c>
      <c r="R72" s="17"/>
      <c r="S72" s="17"/>
      <c r="T72" s="17" t="e">
        <f>_xlfn.RANK.EQ(S72,($C72,$G72,$K72,$O72,$S72,$W72,$AA72,$AE72,$AI72,$AM72),0)</f>
        <v>#N/A</v>
      </c>
      <c r="U72" s="33" t="str">
        <f t="shared" si="0"/>
        <v/>
      </c>
      <c r="V72" s="17"/>
      <c r="W72" s="17"/>
      <c r="X72" s="17" t="e">
        <f>_xlfn.RANK.EQ(W72,($C72,$G72,$K72,$O72,$S72,$W72,$AA72,$AE72,$AI72,$AM72),1)</f>
        <v>#N/A</v>
      </c>
      <c r="Y72" s="33" t="str">
        <f t="shared" si="3"/>
        <v/>
      </c>
      <c r="Z72" s="17"/>
      <c r="AA72" s="17"/>
      <c r="AB72" s="17" t="e">
        <f>_xlfn.RANK.EQ(AA72,($C72,$G72,$K72,$O72,$S72,$W72,$AA72,$AE72,$AI72,$AM72),1)</f>
        <v>#N/A</v>
      </c>
      <c r="AC72" s="33" t="str">
        <f t="shared" si="7"/>
        <v/>
      </c>
      <c r="AD72" s="17"/>
      <c r="AE72" s="17"/>
      <c r="AF72" s="17" t="e">
        <f>_xlfn.RANK.EQ(AE72,($C72,$G72,$K72,$O72,$S72,$W72,$AA72,$AE72,$AI72,$AM72),1)</f>
        <v>#N/A</v>
      </c>
      <c r="AG72" s="33" t="str">
        <f t="shared" si="8"/>
        <v/>
      </c>
      <c r="AH72" s="17"/>
      <c r="AI72" s="17"/>
      <c r="AJ72" s="17" t="e">
        <f>_xlfn.RANK.EQ(AI72,($C72,$G72,$K72,$O72,$S72,$W72,$AA72,$AE72,$AI72,$AM72),1)</f>
        <v>#N/A</v>
      </c>
      <c r="AK72" s="33" t="str">
        <f t="shared" si="1"/>
        <v/>
      </c>
      <c r="AL72" s="17"/>
      <c r="AM72" s="17"/>
      <c r="AN72" s="17" t="e">
        <f>_xlfn.RANK.EQ(AM72,($C72,$G72,$K72,$O72,$S72,$W72,$AA72,$AE72,$AI72,$AM72),1)</f>
        <v>#N/A</v>
      </c>
      <c r="AO72" s="33" t="str">
        <f t="shared" si="9"/>
        <v/>
      </c>
      <c r="AP72" s="17"/>
    </row>
    <row r="73" spans="1:42" x14ac:dyDescent="0.3">
      <c r="A73" s="77"/>
      <c r="B73" s="31" t="s">
        <v>62</v>
      </c>
      <c r="C73" s="33"/>
      <c r="D73" s="17" t="e">
        <f>_xlfn.RANK.EQ(C73,($C73,$G73,$K73,$O73,$S73,$W73,$AB73,$AF73,$AJ73,$AN73),1)</f>
        <v>#N/A</v>
      </c>
      <c r="E73" s="33" t="str">
        <f t="shared" si="2"/>
        <v/>
      </c>
      <c r="F73" s="17"/>
      <c r="G73" s="17"/>
      <c r="H73" s="17" t="e">
        <f>_xlfn.RANK.EQ(G73,($C73,$G73,$K73,$O73,$S73,$W73,$AA73,$AE73,$AI73,$AM73),1)</f>
        <v>#N/A</v>
      </c>
      <c r="I73" s="33" t="str">
        <f t="shared" si="4"/>
        <v/>
      </c>
      <c r="J73" s="17"/>
      <c r="K73" s="17"/>
      <c r="L73" s="17" t="e">
        <f>_xlfn.RANK.EQ(K73,($C73,$G73,$K73,$O73,$S73,$W73,$AA73,$AE73,$AI73,$AM73),1)</f>
        <v>#N/A</v>
      </c>
      <c r="M73" s="33" t="str">
        <f t="shared" si="5"/>
        <v/>
      </c>
      <c r="N73" s="17"/>
      <c r="O73" s="17"/>
      <c r="P73" s="17" t="e">
        <f>_xlfn.RANK.EQ(O73,($C73,$G73,$K73,$O73,$S73,$W73,$AA73,$AE73,$AI73,$AM73),1)</f>
        <v>#N/A</v>
      </c>
      <c r="Q73" s="33" t="str">
        <f t="shared" si="6"/>
        <v/>
      </c>
      <c r="R73" s="17"/>
      <c r="S73" s="17"/>
      <c r="T73" s="17" t="e">
        <f>_xlfn.RANK.EQ(S73,($C73,$G73,$K73,$O73,$S73,$W73,$AA73,$AE73,$AI73,$AM73),0)</f>
        <v>#N/A</v>
      </c>
      <c r="U73" s="33" t="str">
        <f t="shared" si="0"/>
        <v/>
      </c>
      <c r="V73" s="17"/>
      <c r="W73" s="17"/>
      <c r="X73" s="17" t="e">
        <f>_xlfn.RANK.EQ(W73,($C73,$G73,$K73,$O73,$S73,$W73,$AA73,$AE73,$AI73,$AM73),1)</f>
        <v>#N/A</v>
      </c>
      <c r="Y73" s="33" t="str">
        <f t="shared" si="3"/>
        <v/>
      </c>
      <c r="Z73" s="17"/>
      <c r="AA73" s="17"/>
      <c r="AB73" s="17" t="e">
        <f>_xlfn.RANK.EQ(AA73,($C73,$G73,$K73,$O73,$S73,$W73,$AA73,$AE73,$AI73,$AM73),1)</f>
        <v>#N/A</v>
      </c>
      <c r="AC73" s="33" t="str">
        <f t="shared" si="7"/>
        <v/>
      </c>
      <c r="AD73" s="17"/>
      <c r="AE73" s="17"/>
      <c r="AF73" s="17" t="e">
        <f>_xlfn.RANK.EQ(AE73,($C73,$G73,$K73,$O73,$S73,$W73,$AA73,$AE73,$AI73,$AM73),1)</f>
        <v>#N/A</v>
      </c>
      <c r="AG73" s="33" t="str">
        <f t="shared" si="8"/>
        <v/>
      </c>
      <c r="AH73" s="17"/>
      <c r="AI73" s="17"/>
      <c r="AJ73" s="17" t="e">
        <f>_xlfn.RANK.EQ(AI73,($C73,$G73,$K73,$O73,$S73,$W73,$AA73,$AE73,$AI73,$AM73),1)</f>
        <v>#N/A</v>
      </c>
      <c r="AK73" s="33" t="str">
        <f t="shared" si="1"/>
        <v/>
      </c>
      <c r="AL73" s="17"/>
      <c r="AM73" s="17"/>
      <c r="AN73" s="17" t="e">
        <f>_xlfn.RANK.EQ(AM73,($C73,$G73,$K73,$O73,$S73,$W73,$AA73,$AE73,$AI73,$AM73),1)</f>
        <v>#N/A</v>
      </c>
      <c r="AO73" s="33" t="str">
        <f t="shared" si="9"/>
        <v/>
      </c>
      <c r="AP73" s="17"/>
    </row>
    <row r="74" spans="1:42" x14ac:dyDescent="0.3">
      <c r="A74" s="77"/>
      <c r="B74" s="31" t="s">
        <v>63</v>
      </c>
      <c r="C74" s="33"/>
      <c r="D74" s="17" t="e">
        <f>_xlfn.RANK.EQ(C74,($C74,$G74,$K74,$O74,$S74,$W74,$AB74,$AF74,$AJ74,$AN74),1)</f>
        <v>#N/A</v>
      </c>
      <c r="E74" s="33" t="str">
        <f t="shared" si="2"/>
        <v/>
      </c>
      <c r="F74" s="17"/>
      <c r="G74" s="17"/>
      <c r="H74" s="17" t="e">
        <f>_xlfn.RANK.EQ(G74,($C74,$G74,$K74,$O74,$S74,$W74,$AA74,$AE74,$AI74,$AM74),1)</f>
        <v>#N/A</v>
      </c>
      <c r="I74" s="33" t="str">
        <f t="shared" si="4"/>
        <v/>
      </c>
      <c r="J74" s="17"/>
      <c r="K74" s="17"/>
      <c r="L74" s="17" t="e">
        <f>_xlfn.RANK.EQ(K74,($C74,$G74,$K74,$O74,$S74,$W74,$AA74,$AE74,$AI74,$AM74),1)</f>
        <v>#N/A</v>
      </c>
      <c r="M74" s="33" t="str">
        <f t="shared" si="5"/>
        <v/>
      </c>
      <c r="N74" s="17"/>
      <c r="O74" s="17"/>
      <c r="P74" s="17" t="e">
        <f>_xlfn.RANK.EQ(O74,($C74,$G74,$K74,$O74,$S74,$W74,$AA74,$AE74,$AI74,$AM74),1)</f>
        <v>#N/A</v>
      </c>
      <c r="Q74" s="33" t="str">
        <f t="shared" si="6"/>
        <v/>
      </c>
      <c r="R74" s="17"/>
      <c r="S74" s="17"/>
      <c r="T74" s="17" t="e">
        <f>_xlfn.RANK.EQ(S74,($C74,$G74,$K74,$O74,$S74,$W74,$AA74,$AE74,$AI74,$AM74),0)</f>
        <v>#N/A</v>
      </c>
      <c r="U74" s="33" t="str">
        <f t="shared" si="0"/>
        <v/>
      </c>
      <c r="V74" s="17"/>
      <c r="W74" s="17"/>
      <c r="X74" s="17" t="e">
        <f>_xlfn.RANK.EQ(W74,($C74,$G74,$K74,$O74,$S74,$W74,$AA74,$AE74,$AI74,$AM74),1)</f>
        <v>#N/A</v>
      </c>
      <c r="Y74" s="33" t="str">
        <f t="shared" si="3"/>
        <v/>
      </c>
      <c r="Z74" s="17"/>
      <c r="AA74" s="17"/>
      <c r="AB74" s="17" t="e">
        <f>_xlfn.RANK.EQ(AA74,($C74,$G74,$K74,$O74,$S74,$W74,$AA74,$AE74,$AI74,$AM74),1)</f>
        <v>#N/A</v>
      </c>
      <c r="AC74" s="33" t="str">
        <f t="shared" si="7"/>
        <v/>
      </c>
      <c r="AD74" s="17"/>
      <c r="AE74" s="17"/>
      <c r="AF74" s="17" t="e">
        <f>_xlfn.RANK.EQ(AE74,($C74,$G74,$K74,$O74,$S74,$W74,$AA74,$AE74,$AI74,$AM74),1)</f>
        <v>#N/A</v>
      </c>
      <c r="AG74" s="33" t="str">
        <f t="shared" si="8"/>
        <v/>
      </c>
      <c r="AH74" s="17"/>
      <c r="AI74" s="17"/>
      <c r="AJ74" s="17" t="e">
        <f>_xlfn.RANK.EQ(AI74,($C74,$G74,$K74,$O74,$S74,$W74,$AA74,$AE74,$AI74,$AM74),1)</f>
        <v>#N/A</v>
      </c>
      <c r="AK74" s="33" t="str">
        <f t="shared" si="1"/>
        <v/>
      </c>
      <c r="AL74" s="17"/>
      <c r="AM74" s="17"/>
      <c r="AN74" s="17" t="e">
        <f>_xlfn.RANK.EQ(AM74,($C74,$G74,$K74,$O74,$S74,$W74,$AA74,$AE74,$AI74,$AM74),1)</f>
        <v>#N/A</v>
      </c>
      <c r="AO74" s="33" t="str">
        <f t="shared" si="9"/>
        <v/>
      </c>
      <c r="AP74" s="17"/>
    </row>
    <row r="75" spans="1:42" x14ac:dyDescent="0.3">
      <c r="A75" s="77">
        <v>22</v>
      </c>
      <c r="B75" s="31" t="s">
        <v>61</v>
      </c>
      <c r="C75" s="33"/>
      <c r="D75" s="17" t="e">
        <f>_xlfn.RANK.EQ(C75,($C75,$G75,$K75,$O75,$S75,$W75,$AB75,$AF75,$AJ75,$AN75),1)</f>
        <v>#N/A</v>
      </c>
      <c r="E75" s="33" t="str">
        <f t="shared" si="2"/>
        <v/>
      </c>
      <c r="F75" s="17"/>
      <c r="G75" s="17"/>
      <c r="H75" s="17" t="e">
        <f>_xlfn.RANK.EQ(G75,($C75,$G75,$K75,$O75,$S75,$W75,$AA75,$AE75,$AI75,$AM75),1)</f>
        <v>#N/A</v>
      </c>
      <c r="I75" s="33" t="str">
        <f t="shared" si="4"/>
        <v/>
      </c>
      <c r="J75" s="17"/>
      <c r="K75" s="17"/>
      <c r="L75" s="17" t="e">
        <f>_xlfn.RANK.EQ(K75,($C75,$G75,$K75,$O75,$S75,$W75,$AA75,$AE75,$AI75,$AM75),1)</f>
        <v>#N/A</v>
      </c>
      <c r="M75" s="33" t="str">
        <f t="shared" si="5"/>
        <v/>
      </c>
      <c r="N75" s="17"/>
      <c r="O75" s="17"/>
      <c r="P75" s="17" t="e">
        <f>_xlfn.RANK.EQ(O75,($C75,$G75,$K75,$O75,$S75,$W75,$AA75,$AE75,$AI75,$AM75),1)</f>
        <v>#N/A</v>
      </c>
      <c r="Q75" s="33" t="str">
        <f t="shared" si="6"/>
        <v/>
      </c>
      <c r="R75" s="17"/>
      <c r="S75" s="17"/>
      <c r="T75" s="17" t="e">
        <f>_xlfn.RANK.EQ(S75,($C75,$G75,$K75,$O75,$S75,$W75,$AA75,$AE75,$AI75,$AM75),0)</f>
        <v>#N/A</v>
      </c>
      <c r="U75" s="33" t="str">
        <f t="shared" si="0"/>
        <v/>
      </c>
      <c r="V75" s="17"/>
      <c r="W75" s="17"/>
      <c r="X75" s="17" t="e">
        <f>_xlfn.RANK.EQ(W75,($C75,$G75,$K75,$O75,$S75,$W75,$AA75,$AE75,$AI75,$AM75),1)</f>
        <v>#N/A</v>
      </c>
      <c r="Y75" s="33" t="str">
        <f t="shared" si="3"/>
        <v/>
      </c>
      <c r="Z75" s="17"/>
      <c r="AA75" s="17"/>
      <c r="AB75" s="17" t="e">
        <f>_xlfn.RANK.EQ(AA75,($C75,$G75,$K75,$O75,$S75,$W75,$AA75,$AE75,$AI75,$AM75),1)</f>
        <v>#N/A</v>
      </c>
      <c r="AC75" s="33" t="str">
        <f t="shared" si="7"/>
        <v/>
      </c>
      <c r="AD75" s="17"/>
      <c r="AE75" s="17"/>
      <c r="AF75" s="17" t="e">
        <f>_xlfn.RANK.EQ(AE75,($C75,$G75,$K75,$O75,$S75,$W75,$AA75,$AE75,$AI75,$AM75),1)</f>
        <v>#N/A</v>
      </c>
      <c r="AG75" s="33" t="str">
        <f t="shared" si="8"/>
        <v/>
      </c>
      <c r="AH75" s="17"/>
      <c r="AI75" s="17"/>
      <c r="AJ75" s="17" t="e">
        <f>_xlfn.RANK.EQ(AI75,($C75,$G75,$K75,$O75,$S75,$W75,$AA75,$AE75,$AI75,$AM75),1)</f>
        <v>#N/A</v>
      </c>
      <c r="AK75" s="33" t="str">
        <f t="shared" si="1"/>
        <v/>
      </c>
      <c r="AL75" s="17"/>
      <c r="AM75" s="17"/>
      <c r="AN75" s="17" t="e">
        <f>_xlfn.RANK.EQ(AM75,($C75,$G75,$K75,$O75,$S75,$W75,$AA75,$AE75,$AI75,$AM75),1)</f>
        <v>#N/A</v>
      </c>
      <c r="AO75" s="33" t="str">
        <f t="shared" si="9"/>
        <v/>
      </c>
      <c r="AP75" s="17"/>
    </row>
    <row r="76" spans="1:42" x14ac:dyDescent="0.3">
      <c r="A76" s="77"/>
      <c r="B76" s="31" t="s">
        <v>62</v>
      </c>
      <c r="C76" s="33"/>
      <c r="D76" s="17" t="e">
        <f>_xlfn.RANK.EQ(C76,($C76,$G76,$K76,$O76,$S76,$W76,$AB76,$AF76,$AJ76,$AN76),1)</f>
        <v>#N/A</v>
      </c>
      <c r="E76" s="33" t="str">
        <f t="shared" si="2"/>
        <v/>
      </c>
      <c r="F76" s="17"/>
      <c r="G76" s="17"/>
      <c r="H76" s="17" t="e">
        <f>_xlfn.RANK.EQ(G76,($C76,$G76,$K76,$O76,$S76,$W76,$AA76,$AE76,$AI76,$AM76),1)</f>
        <v>#N/A</v>
      </c>
      <c r="I76" s="33" t="str">
        <f t="shared" si="4"/>
        <v/>
      </c>
      <c r="J76" s="17"/>
      <c r="K76" s="17"/>
      <c r="L76" s="17" t="e">
        <f>_xlfn.RANK.EQ(K76,($C76,$G76,$K76,$O76,$S76,$W76,$AA76,$AE76,$AI76,$AM76),1)</f>
        <v>#N/A</v>
      </c>
      <c r="M76" s="33" t="str">
        <f t="shared" si="5"/>
        <v/>
      </c>
      <c r="N76" s="17"/>
      <c r="O76" s="17"/>
      <c r="P76" s="17" t="e">
        <f>_xlfn.RANK.EQ(O76,($C76,$G76,$K76,$O76,$S76,$W76,$AA76,$AE76,$AI76,$AM76),1)</f>
        <v>#N/A</v>
      </c>
      <c r="Q76" s="33" t="str">
        <f t="shared" si="6"/>
        <v/>
      </c>
      <c r="R76" s="17"/>
      <c r="S76" s="17"/>
      <c r="T76" s="17" t="e">
        <f>_xlfn.RANK.EQ(S76,($C76,$G76,$K76,$O76,$S76,$W76,$AA76,$AE76,$AI76,$AM76),0)</f>
        <v>#N/A</v>
      </c>
      <c r="U76" s="33" t="str">
        <f t="shared" ref="U76:U109" si="10">IF(MROUND(SUM(S76*11),0.5)=0,"",MROUND(SUM(S76*11),0.5))</f>
        <v/>
      </c>
      <c r="V76" s="17"/>
      <c r="W76" s="17"/>
      <c r="X76" s="17" t="e">
        <f>_xlfn.RANK.EQ(W76,($C76,$G76,$K76,$O76,$S76,$W76,$AA76,$AE76,$AI76,$AM76),1)</f>
        <v>#N/A</v>
      </c>
      <c r="Y76" s="33" t="str">
        <f t="shared" si="3"/>
        <v/>
      </c>
      <c r="Z76" s="17"/>
      <c r="AA76" s="17"/>
      <c r="AB76" s="17" t="e">
        <f>_xlfn.RANK.EQ(AA76,($C76,$G76,$K76,$O76,$S76,$W76,$AA76,$AE76,$AI76,$AM76),1)</f>
        <v>#N/A</v>
      </c>
      <c r="AC76" s="33" t="str">
        <f t="shared" si="7"/>
        <v/>
      </c>
      <c r="AD76" s="17"/>
      <c r="AE76" s="17"/>
      <c r="AF76" s="17" t="e">
        <f>_xlfn.RANK.EQ(AE76,($C76,$G76,$K76,$O76,$S76,$W76,$AA76,$AE76,$AI76,$AM76),1)</f>
        <v>#N/A</v>
      </c>
      <c r="AG76" s="33" t="str">
        <f t="shared" si="8"/>
        <v/>
      </c>
      <c r="AH76" s="17"/>
      <c r="AI76" s="17"/>
      <c r="AJ76" s="17" t="e">
        <f>_xlfn.RANK.EQ(AI76,($C76,$G76,$K76,$O76,$S76,$W76,$AA76,$AE76,$AI76,$AM76),1)</f>
        <v>#N/A</v>
      </c>
      <c r="AK76" s="33" t="str">
        <f t="shared" ref="AK76:AK109" si="11">IF(MROUND(SUM(AI76*11),0.5)=0,"",MROUND(SUM(AI76*11),0.5))</f>
        <v/>
      </c>
      <c r="AL76" s="17"/>
      <c r="AM76" s="17"/>
      <c r="AN76" s="17" t="e">
        <f>_xlfn.RANK.EQ(AM76,($C76,$G76,$K76,$O76,$S76,$W76,$AA76,$AE76,$AI76,$AM76),1)</f>
        <v>#N/A</v>
      </c>
      <c r="AO76" s="33" t="str">
        <f t="shared" si="9"/>
        <v/>
      </c>
      <c r="AP76" s="17"/>
    </row>
    <row r="77" spans="1:42" x14ac:dyDescent="0.3">
      <c r="A77" s="77"/>
      <c r="B77" s="31" t="s">
        <v>63</v>
      </c>
      <c r="C77" s="33"/>
      <c r="D77" s="17" t="e">
        <f>_xlfn.RANK.EQ(C77,($C77,$G77,$K77,$O77,$S77,$W77,$AB77,$AF77,$AJ77,$AN77),1)</f>
        <v>#N/A</v>
      </c>
      <c r="E77" s="33" t="str">
        <f t="shared" si="2"/>
        <v/>
      </c>
      <c r="F77" s="17"/>
      <c r="G77" s="17"/>
      <c r="H77" s="17" t="e">
        <f>_xlfn.RANK.EQ(G77,($C77,$G77,$K77,$O77,$S77,$W77,$AA77,$AE77,$AI77,$AM77),1)</f>
        <v>#N/A</v>
      </c>
      <c r="I77" s="33" t="str">
        <f t="shared" si="4"/>
        <v/>
      </c>
      <c r="J77" s="17"/>
      <c r="K77" s="17"/>
      <c r="L77" s="17" t="e">
        <f>_xlfn.RANK.EQ(K77,($C77,$G77,$K77,$O77,$S77,$W77,$AA77,$AE77,$AI77,$AM77),1)</f>
        <v>#N/A</v>
      </c>
      <c r="M77" s="33" t="str">
        <f t="shared" si="5"/>
        <v/>
      </c>
      <c r="N77" s="17"/>
      <c r="O77" s="17"/>
      <c r="P77" s="17" t="e">
        <f>_xlfn.RANK.EQ(O77,($C77,$G77,$K77,$O77,$S77,$W77,$AA77,$AE77,$AI77,$AM77),1)</f>
        <v>#N/A</v>
      </c>
      <c r="Q77" s="33" t="str">
        <f t="shared" si="6"/>
        <v/>
      </c>
      <c r="R77" s="17"/>
      <c r="S77" s="17"/>
      <c r="T77" s="17" t="e">
        <f>_xlfn.RANK.EQ(S77,($C77,$G77,$K77,$O77,$S77,$W77,$AA77,$AE77,$AI77,$AM77),0)</f>
        <v>#N/A</v>
      </c>
      <c r="U77" s="33" t="str">
        <f t="shared" si="10"/>
        <v/>
      </c>
      <c r="V77" s="17"/>
      <c r="W77" s="17"/>
      <c r="X77" s="17" t="e">
        <f>_xlfn.RANK.EQ(W77,($C77,$G77,$K77,$O77,$S77,$W77,$AA77,$AE77,$AI77,$AM77),1)</f>
        <v>#N/A</v>
      </c>
      <c r="Y77" s="33" t="str">
        <f t="shared" si="3"/>
        <v/>
      </c>
      <c r="Z77" s="17"/>
      <c r="AA77" s="17"/>
      <c r="AB77" s="17" t="e">
        <f>_xlfn.RANK.EQ(AA77,($C77,$G77,$K77,$O77,$S77,$W77,$AA77,$AE77,$AI77,$AM77),1)</f>
        <v>#N/A</v>
      </c>
      <c r="AC77" s="33" t="str">
        <f t="shared" si="7"/>
        <v/>
      </c>
      <c r="AD77" s="17"/>
      <c r="AE77" s="17"/>
      <c r="AF77" s="17" t="e">
        <f>_xlfn.RANK.EQ(AE77,($C77,$G77,$K77,$O77,$S77,$W77,$AA77,$AE77,$AI77,$AM77),1)</f>
        <v>#N/A</v>
      </c>
      <c r="AG77" s="33" t="str">
        <f t="shared" si="8"/>
        <v/>
      </c>
      <c r="AH77" s="17"/>
      <c r="AI77" s="17"/>
      <c r="AJ77" s="17" t="e">
        <f>_xlfn.RANK.EQ(AI77,($C77,$G77,$K77,$O77,$S77,$W77,$AA77,$AE77,$AI77,$AM77),1)</f>
        <v>#N/A</v>
      </c>
      <c r="AK77" s="33" t="str">
        <f t="shared" si="11"/>
        <v/>
      </c>
      <c r="AL77" s="17"/>
      <c r="AM77" s="17"/>
      <c r="AN77" s="17" t="e">
        <f>_xlfn.RANK.EQ(AM77,($C77,$G77,$K77,$O77,$S77,$W77,$AA77,$AE77,$AI77,$AM77),1)</f>
        <v>#N/A</v>
      </c>
      <c r="AO77" s="33" t="str">
        <f t="shared" si="9"/>
        <v/>
      </c>
      <c r="AP77" s="17"/>
    </row>
    <row r="78" spans="1:42" x14ac:dyDescent="0.3">
      <c r="A78" s="77">
        <v>23</v>
      </c>
      <c r="B78" s="31" t="s">
        <v>61</v>
      </c>
      <c r="C78" s="33"/>
      <c r="D78" s="17" t="e">
        <f>_xlfn.RANK.EQ(C78,($C78,$G78,$K78,$O78,$S78,$W78,$AB78,$AF78,$AJ78,$AN78),1)</f>
        <v>#N/A</v>
      </c>
      <c r="E78" s="33" t="str">
        <f t="shared" ref="E78:E110" si="12">IF(MROUND(SUM(C78*11),0.5)=0,"",MROUND(SUM(C78*11),0.5))</f>
        <v/>
      </c>
      <c r="F78" s="17"/>
      <c r="G78" s="17"/>
      <c r="H78" s="17" t="e">
        <f>_xlfn.RANK.EQ(G78,($C78,$G78,$K78,$O78,$S78,$W78,$AA78,$AE78,$AI78,$AM78),1)</f>
        <v>#N/A</v>
      </c>
      <c r="I78" s="33" t="str">
        <f t="shared" si="4"/>
        <v/>
      </c>
      <c r="J78" s="17"/>
      <c r="K78" s="17"/>
      <c r="L78" s="17" t="e">
        <f>_xlfn.RANK.EQ(K78,($C78,$G78,$K78,$O78,$S78,$W78,$AA78,$AE78,$AI78,$AM78),1)</f>
        <v>#N/A</v>
      </c>
      <c r="M78" s="33" t="str">
        <f t="shared" si="5"/>
        <v/>
      </c>
      <c r="N78" s="17"/>
      <c r="O78" s="17"/>
      <c r="P78" s="17" t="e">
        <f>_xlfn.RANK.EQ(O78,($C78,$G78,$K78,$O78,$S78,$W78,$AA78,$AE78,$AI78,$AM78),1)</f>
        <v>#N/A</v>
      </c>
      <c r="Q78" s="33" t="str">
        <f t="shared" si="6"/>
        <v/>
      </c>
      <c r="R78" s="17"/>
      <c r="S78" s="17"/>
      <c r="T78" s="17" t="e">
        <f>_xlfn.RANK.EQ(S78,($C78,$G78,$K78,$O78,$S78,$W78,$AA78,$AE78,$AI78,$AM78),0)</f>
        <v>#N/A</v>
      </c>
      <c r="U78" s="33" t="str">
        <f t="shared" si="10"/>
        <v/>
      </c>
      <c r="V78" s="17"/>
      <c r="W78" s="17"/>
      <c r="X78" s="17" t="e">
        <f>_xlfn.RANK.EQ(W78,($C78,$G78,$K78,$O78,$S78,$W78,$AA78,$AE78,$AI78,$AM78),1)</f>
        <v>#N/A</v>
      </c>
      <c r="Y78" s="33" t="str">
        <f t="shared" ref="Y78:Y110" si="13">IF(MROUND(SUM(W78*11),0.5)=0,"",MROUND(SUM(W78*11),0.5))</f>
        <v/>
      </c>
      <c r="Z78" s="17"/>
      <c r="AA78" s="17"/>
      <c r="AB78" s="17" t="e">
        <f>_xlfn.RANK.EQ(AA78,($C78,$G78,$K78,$O78,$S78,$W78,$AA78,$AE78,$AI78,$AM78),1)</f>
        <v>#N/A</v>
      </c>
      <c r="AC78" s="33" t="str">
        <f t="shared" si="7"/>
        <v/>
      </c>
      <c r="AD78" s="17"/>
      <c r="AE78" s="17"/>
      <c r="AF78" s="17" t="e">
        <f>_xlfn.RANK.EQ(AE78,($C78,$G78,$K78,$O78,$S78,$W78,$AA78,$AE78,$AI78,$AM78),1)</f>
        <v>#N/A</v>
      </c>
      <c r="AG78" s="33" t="str">
        <f t="shared" si="8"/>
        <v/>
      </c>
      <c r="AH78" s="17"/>
      <c r="AI78" s="17"/>
      <c r="AJ78" s="17" t="e">
        <f>_xlfn.RANK.EQ(AI78,($C78,$G78,$K78,$O78,$S78,$W78,$AA78,$AE78,$AI78,$AM78),1)</f>
        <v>#N/A</v>
      </c>
      <c r="AK78" s="33" t="str">
        <f t="shared" si="11"/>
        <v/>
      </c>
      <c r="AL78" s="17"/>
      <c r="AM78" s="17"/>
      <c r="AN78" s="17" t="e">
        <f>_xlfn.RANK.EQ(AM78,($C78,$G78,$K78,$O78,$S78,$W78,$AA78,$AE78,$AI78,$AM78),1)</f>
        <v>#N/A</v>
      </c>
      <c r="AO78" s="33" t="str">
        <f t="shared" si="9"/>
        <v/>
      </c>
      <c r="AP78" s="17"/>
    </row>
    <row r="79" spans="1:42" x14ac:dyDescent="0.3">
      <c r="A79" s="77"/>
      <c r="B79" s="31" t="s">
        <v>62</v>
      </c>
      <c r="C79" s="33"/>
      <c r="D79" s="17" t="e">
        <f>_xlfn.RANK.EQ(C79,($C79,$G79,$K79,$O79,$S79,$W79,$AB79,$AF79,$AJ79,$AN79),1)</f>
        <v>#N/A</v>
      </c>
      <c r="E79" s="33" t="str">
        <f t="shared" si="12"/>
        <v/>
      </c>
      <c r="F79" s="17"/>
      <c r="G79" s="17"/>
      <c r="H79" s="17" t="e">
        <f>_xlfn.RANK.EQ(G79,($C79,$G79,$K79,$O79,$S79,$W79,$AA79,$AE79,$AI79,$AM79),1)</f>
        <v>#N/A</v>
      </c>
      <c r="I79" s="33" t="str">
        <f t="shared" ref="I79:I110" si="14">IF(MROUND(SUM(G79*11),0.5)=0,"",MROUND(SUM(G79*11),0.5))</f>
        <v/>
      </c>
      <c r="J79" s="17"/>
      <c r="K79" s="17"/>
      <c r="L79" s="17" t="e">
        <f>_xlfn.RANK.EQ(K79,($C79,$G79,$K79,$O79,$S79,$W79,$AA79,$AE79,$AI79,$AM79),1)</f>
        <v>#N/A</v>
      </c>
      <c r="M79" s="33" t="str">
        <f t="shared" ref="M79:M109" si="15">IF(MROUND(SUM(K79*11),0.5)=0,"",MROUND(SUM(K79*11),0.5))</f>
        <v/>
      </c>
      <c r="N79" s="17"/>
      <c r="O79" s="17"/>
      <c r="P79" s="17" t="e">
        <f>_xlfn.RANK.EQ(O79,($C79,$G79,$K79,$O79,$S79,$W79,$AA79,$AE79,$AI79,$AM79),1)</f>
        <v>#N/A</v>
      </c>
      <c r="Q79" s="33" t="str">
        <f t="shared" ref="Q79:Q110" si="16">IF(MROUND(SUM(O79*11),0.5)=0,"",MROUND(SUM(O79*11),0.5))</f>
        <v/>
      </c>
      <c r="R79" s="17"/>
      <c r="S79" s="17"/>
      <c r="T79" s="17" t="e">
        <f>_xlfn.RANK.EQ(S79,($C79,$G79,$K79,$O79,$S79,$W79,$AA79,$AE79,$AI79,$AM79),0)</f>
        <v>#N/A</v>
      </c>
      <c r="U79" s="33" t="str">
        <f t="shared" si="10"/>
        <v/>
      </c>
      <c r="V79" s="17"/>
      <c r="W79" s="17"/>
      <c r="X79" s="17" t="e">
        <f>_xlfn.RANK.EQ(W79,($C79,$G79,$K79,$O79,$S79,$W79,$AA79,$AE79,$AI79,$AM79),1)</f>
        <v>#N/A</v>
      </c>
      <c r="Y79" s="33" t="str">
        <f t="shared" si="13"/>
        <v/>
      </c>
      <c r="Z79" s="17"/>
      <c r="AA79" s="17"/>
      <c r="AB79" s="17" t="e">
        <f>_xlfn.RANK.EQ(AA79,($C79,$G79,$K79,$O79,$S79,$W79,$AA79,$AE79,$AI79,$AM79),1)</f>
        <v>#N/A</v>
      </c>
      <c r="AC79" s="33" t="str">
        <f t="shared" ref="AC79:AC109" si="17">IF(MROUND(SUM(AA79*11),0.5)=0,"",MROUND(SUM(AA79*11),0.5))</f>
        <v/>
      </c>
      <c r="AD79" s="17"/>
      <c r="AE79" s="17"/>
      <c r="AF79" s="17" t="e">
        <f>_xlfn.RANK.EQ(AE79,($C79,$G79,$K79,$O79,$S79,$W79,$AA79,$AE79,$AI79,$AM79),1)</f>
        <v>#N/A</v>
      </c>
      <c r="AG79" s="33" t="str">
        <f t="shared" ref="AG79:AG110" si="18">IF(MROUND(SUM(AE79*11),0.5)=0,"",MROUND(SUM(AE79*11),0.5))</f>
        <v/>
      </c>
      <c r="AH79" s="17"/>
      <c r="AI79" s="17"/>
      <c r="AJ79" s="17" t="e">
        <f>_xlfn.RANK.EQ(AI79,($C79,$G79,$K79,$O79,$S79,$W79,$AA79,$AE79,$AI79,$AM79),1)</f>
        <v>#N/A</v>
      </c>
      <c r="AK79" s="33" t="str">
        <f t="shared" si="11"/>
        <v/>
      </c>
      <c r="AL79" s="17"/>
      <c r="AM79" s="17"/>
      <c r="AN79" s="17" t="e">
        <f>_xlfn.RANK.EQ(AM79,($C79,$G79,$K79,$O79,$S79,$W79,$AA79,$AE79,$AI79,$AM79),1)</f>
        <v>#N/A</v>
      </c>
      <c r="AO79" s="33" t="str">
        <f t="shared" ref="AO79:AO110" si="19">IF(MROUND(SUM(AM79*11),0.5)=0,"",MROUND(SUM(AM79*11),0.5))</f>
        <v/>
      </c>
      <c r="AP79" s="17"/>
    </row>
    <row r="80" spans="1:42" x14ac:dyDescent="0.3">
      <c r="A80" s="77"/>
      <c r="B80" s="31" t="s">
        <v>63</v>
      </c>
      <c r="C80" s="33"/>
      <c r="D80" s="17" t="e">
        <f>_xlfn.RANK.EQ(C80,($C80,$G80,$K80,$O80,$S80,$W80,$AB80,$AF80,$AJ80,$AN80),1)</f>
        <v>#N/A</v>
      </c>
      <c r="E80" s="33" t="str">
        <f t="shared" si="12"/>
        <v/>
      </c>
      <c r="F80" s="17"/>
      <c r="G80" s="17"/>
      <c r="H80" s="17" t="e">
        <f>_xlfn.RANK.EQ(G80,($C80,$G80,$K80,$O80,$S80,$W80,$AA80,$AE80,$AI80,$AM80),1)</f>
        <v>#N/A</v>
      </c>
      <c r="I80" s="33" t="str">
        <f t="shared" si="14"/>
        <v/>
      </c>
      <c r="J80" s="17"/>
      <c r="K80" s="17"/>
      <c r="L80" s="17" t="e">
        <f>_xlfn.RANK.EQ(K80,($C80,$G80,$K80,$O80,$S80,$W80,$AA80,$AE80,$AI80,$AM80),1)</f>
        <v>#N/A</v>
      </c>
      <c r="M80" s="33" t="str">
        <f t="shared" si="15"/>
        <v/>
      </c>
      <c r="N80" s="17"/>
      <c r="O80" s="17"/>
      <c r="P80" s="17" t="e">
        <f>_xlfn.RANK.EQ(O80,($C80,$G80,$K80,$O80,$S80,$W80,$AA80,$AE80,$AI80,$AM80),1)</f>
        <v>#N/A</v>
      </c>
      <c r="Q80" s="33" t="str">
        <f t="shared" si="16"/>
        <v/>
      </c>
      <c r="R80" s="17"/>
      <c r="S80" s="17"/>
      <c r="T80" s="17" t="e">
        <f>_xlfn.RANK.EQ(S80,($C80,$G80,$K80,$O80,$S80,$W80,$AA80,$AE80,$AI80,$AM80),0)</f>
        <v>#N/A</v>
      </c>
      <c r="U80" s="33" t="str">
        <f t="shared" si="10"/>
        <v/>
      </c>
      <c r="V80" s="17"/>
      <c r="W80" s="17"/>
      <c r="X80" s="17" t="e">
        <f>_xlfn.RANK.EQ(W80,($C80,$G80,$K80,$O80,$S80,$W80,$AA80,$AE80,$AI80,$AM80),1)</f>
        <v>#N/A</v>
      </c>
      <c r="Y80" s="33" t="str">
        <f t="shared" si="13"/>
        <v/>
      </c>
      <c r="Z80" s="17"/>
      <c r="AA80" s="17"/>
      <c r="AB80" s="17" t="e">
        <f>_xlfn.RANK.EQ(AA80,($C80,$G80,$K80,$O80,$S80,$W80,$AA80,$AE80,$AI80,$AM80),1)</f>
        <v>#N/A</v>
      </c>
      <c r="AC80" s="33" t="str">
        <f t="shared" si="17"/>
        <v/>
      </c>
      <c r="AD80" s="17"/>
      <c r="AE80" s="17"/>
      <c r="AF80" s="17" t="e">
        <f>_xlfn.RANK.EQ(AE80,($C80,$G80,$K80,$O80,$S80,$W80,$AA80,$AE80,$AI80,$AM80),1)</f>
        <v>#N/A</v>
      </c>
      <c r="AG80" s="33" t="str">
        <f t="shared" si="18"/>
        <v/>
      </c>
      <c r="AH80" s="17"/>
      <c r="AI80" s="17"/>
      <c r="AJ80" s="17" t="e">
        <f>_xlfn.RANK.EQ(AI80,($C80,$G80,$K80,$O80,$S80,$W80,$AA80,$AE80,$AI80,$AM80),1)</f>
        <v>#N/A</v>
      </c>
      <c r="AK80" s="33" t="str">
        <f t="shared" si="11"/>
        <v/>
      </c>
      <c r="AL80" s="17"/>
      <c r="AM80" s="17"/>
      <c r="AN80" s="17" t="e">
        <f>_xlfn.RANK.EQ(AM80,($C80,$G80,$K80,$O80,$S80,$W80,$AA80,$AE80,$AI80,$AM80),1)</f>
        <v>#N/A</v>
      </c>
      <c r="AO80" s="33" t="str">
        <f t="shared" si="19"/>
        <v/>
      </c>
      <c r="AP80" s="17"/>
    </row>
    <row r="81" spans="1:42" x14ac:dyDescent="0.3">
      <c r="A81" s="77">
        <v>24</v>
      </c>
      <c r="B81" s="31" t="s">
        <v>61</v>
      </c>
      <c r="C81" s="33"/>
      <c r="D81" s="17" t="e">
        <f>_xlfn.RANK.EQ(C81,($C81,$G81,$K81,$O81,$S81,$W81,$AB81,$AF81,$AJ81,$AN81),1)</f>
        <v>#N/A</v>
      </c>
      <c r="E81" s="33" t="str">
        <f t="shared" si="12"/>
        <v/>
      </c>
      <c r="F81" s="17"/>
      <c r="G81" s="17"/>
      <c r="H81" s="17" t="e">
        <f>_xlfn.RANK.EQ(G81,($C81,$G81,$K81,$O81,$S81,$W81,$AA81,$AE81,$AI81,$AM81),1)</f>
        <v>#N/A</v>
      </c>
      <c r="I81" s="33" t="str">
        <f t="shared" si="14"/>
        <v/>
      </c>
      <c r="J81" s="17"/>
      <c r="K81" s="17"/>
      <c r="L81" s="17" t="e">
        <f>_xlfn.RANK.EQ(K81,($C81,$G81,$K81,$O81,$S81,$W81,$AA81,$AE81,$AI81,$AM81),1)</f>
        <v>#N/A</v>
      </c>
      <c r="M81" s="33" t="str">
        <f t="shared" si="15"/>
        <v/>
      </c>
      <c r="N81" s="17"/>
      <c r="O81" s="17"/>
      <c r="P81" s="17" t="e">
        <f>_xlfn.RANK.EQ(O81,($C81,$G81,$K81,$O81,$S81,$W81,$AA81,$AE81,$AI81,$AM81),1)</f>
        <v>#N/A</v>
      </c>
      <c r="Q81" s="33" t="str">
        <f t="shared" si="16"/>
        <v/>
      </c>
      <c r="R81" s="17"/>
      <c r="S81" s="17"/>
      <c r="T81" s="17" t="e">
        <f>_xlfn.RANK.EQ(S81,($C81,$G81,$K81,$O81,$S81,$W81,$AA81,$AE81,$AI81,$AM81),0)</f>
        <v>#N/A</v>
      </c>
      <c r="U81" s="33" t="str">
        <f t="shared" si="10"/>
        <v/>
      </c>
      <c r="V81" s="17"/>
      <c r="W81" s="17"/>
      <c r="X81" s="17" t="e">
        <f>_xlfn.RANK.EQ(W81,($C81,$G81,$K81,$O81,$S81,$W81,$AA81,$AE81,$AI81,$AM81),1)</f>
        <v>#N/A</v>
      </c>
      <c r="Y81" s="33" t="str">
        <f t="shared" si="13"/>
        <v/>
      </c>
      <c r="Z81" s="17"/>
      <c r="AA81" s="17"/>
      <c r="AB81" s="17" t="e">
        <f>_xlfn.RANK.EQ(AA81,($C81,$G81,$K81,$O81,$S81,$W81,$AA81,$AE81,$AI81,$AM81),1)</f>
        <v>#N/A</v>
      </c>
      <c r="AC81" s="33" t="str">
        <f t="shared" si="17"/>
        <v/>
      </c>
      <c r="AD81" s="17"/>
      <c r="AE81" s="17"/>
      <c r="AF81" s="17" t="e">
        <f>_xlfn.RANK.EQ(AE81,($C81,$G81,$K81,$O81,$S81,$W81,$AA81,$AE81,$AI81,$AM81),1)</f>
        <v>#N/A</v>
      </c>
      <c r="AG81" s="33" t="str">
        <f t="shared" si="18"/>
        <v/>
      </c>
      <c r="AH81" s="17"/>
      <c r="AI81" s="17"/>
      <c r="AJ81" s="17" t="e">
        <f>_xlfn.RANK.EQ(AI81,($C81,$G81,$K81,$O81,$S81,$W81,$AA81,$AE81,$AI81,$AM81),1)</f>
        <v>#N/A</v>
      </c>
      <c r="AK81" s="33" t="str">
        <f t="shared" si="11"/>
        <v/>
      </c>
      <c r="AL81" s="17"/>
      <c r="AM81" s="17"/>
      <c r="AN81" s="17" t="e">
        <f>_xlfn.RANK.EQ(AM81,($C81,$G81,$K81,$O81,$S81,$W81,$AA81,$AE81,$AI81,$AM81),1)</f>
        <v>#N/A</v>
      </c>
      <c r="AO81" s="33" t="str">
        <f t="shared" si="19"/>
        <v/>
      </c>
      <c r="AP81" s="17"/>
    </row>
    <row r="82" spans="1:42" x14ac:dyDescent="0.3">
      <c r="A82" s="77"/>
      <c r="B82" s="31" t="s">
        <v>62</v>
      </c>
      <c r="C82" s="33"/>
      <c r="D82" s="17" t="e">
        <f>_xlfn.RANK.EQ(C82,($C82,$G82,$K82,$O82,$S82,$W82,$AB82,$AF82,$AJ82,$AN82),1)</f>
        <v>#N/A</v>
      </c>
      <c r="E82" s="33" t="str">
        <f t="shared" si="12"/>
        <v/>
      </c>
      <c r="F82" s="17"/>
      <c r="G82" s="17"/>
      <c r="H82" s="17" t="e">
        <f>_xlfn.RANK.EQ(G82,($C82,$G82,$K82,$O82,$S82,$W82,$AA82,$AE82,$AI82,$AM82),1)</f>
        <v>#N/A</v>
      </c>
      <c r="I82" s="33" t="str">
        <f t="shared" si="14"/>
        <v/>
      </c>
      <c r="J82" s="17"/>
      <c r="K82" s="17"/>
      <c r="L82" s="17" t="e">
        <f>_xlfn.RANK.EQ(K82,($C82,$G82,$K82,$O82,$S82,$W82,$AA82,$AE82,$AI82,$AM82),1)</f>
        <v>#N/A</v>
      </c>
      <c r="M82" s="33" t="str">
        <f t="shared" si="15"/>
        <v/>
      </c>
      <c r="N82" s="17"/>
      <c r="O82" s="17"/>
      <c r="P82" s="17" t="e">
        <f>_xlfn.RANK.EQ(O82,($C82,$G82,$K82,$O82,$S82,$W82,$AA82,$AE82,$AI82,$AM82),1)</f>
        <v>#N/A</v>
      </c>
      <c r="Q82" s="33" t="str">
        <f t="shared" si="16"/>
        <v/>
      </c>
      <c r="R82" s="17"/>
      <c r="S82" s="17"/>
      <c r="T82" s="17" t="e">
        <f>_xlfn.RANK.EQ(S82,($C82,$G82,$K82,$O82,$S82,$W82,$AA82,$AE82,$AI82,$AM82),0)</f>
        <v>#N/A</v>
      </c>
      <c r="U82" s="33" t="str">
        <f t="shared" si="10"/>
        <v/>
      </c>
      <c r="V82" s="17"/>
      <c r="W82" s="17"/>
      <c r="X82" s="17" t="e">
        <f>_xlfn.RANK.EQ(W82,($C82,$G82,$K82,$O82,$S82,$W82,$AA82,$AE82,$AI82,$AM82),1)</f>
        <v>#N/A</v>
      </c>
      <c r="Y82" s="33" t="str">
        <f t="shared" si="13"/>
        <v/>
      </c>
      <c r="Z82" s="17"/>
      <c r="AA82" s="17"/>
      <c r="AB82" s="17" t="e">
        <f>_xlfn.RANK.EQ(AA82,($C82,$G82,$K82,$O82,$S82,$W82,$AA82,$AE82,$AI82,$AM82),1)</f>
        <v>#N/A</v>
      </c>
      <c r="AC82" s="33" t="str">
        <f t="shared" si="17"/>
        <v/>
      </c>
      <c r="AD82" s="17"/>
      <c r="AE82" s="17"/>
      <c r="AF82" s="17" t="e">
        <f>_xlfn.RANK.EQ(AE82,($C82,$G82,$K82,$O82,$S82,$W82,$AA82,$AE82,$AI82,$AM82),1)</f>
        <v>#N/A</v>
      </c>
      <c r="AG82" s="33" t="str">
        <f t="shared" si="18"/>
        <v/>
      </c>
      <c r="AH82" s="17"/>
      <c r="AI82" s="17"/>
      <c r="AJ82" s="17" t="e">
        <f>_xlfn.RANK.EQ(AI82,($C82,$G82,$K82,$O82,$S82,$W82,$AA82,$AE82,$AI82,$AM82),1)</f>
        <v>#N/A</v>
      </c>
      <c r="AK82" s="33" t="str">
        <f t="shared" si="11"/>
        <v/>
      </c>
      <c r="AL82" s="17"/>
      <c r="AM82" s="17"/>
      <c r="AN82" s="17" t="e">
        <f>_xlfn.RANK.EQ(AM82,($C82,$G82,$K82,$O82,$S82,$W82,$AA82,$AE82,$AI82,$AM82),1)</f>
        <v>#N/A</v>
      </c>
      <c r="AO82" s="33" t="str">
        <f t="shared" si="19"/>
        <v/>
      </c>
      <c r="AP82" s="17"/>
    </row>
    <row r="83" spans="1:42" x14ac:dyDescent="0.3">
      <c r="A83" s="77"/>
      <c r="B83" s="31" t="s">
        <v>63</v>
      </c>
      <c r="C83" s="33"/>
      <c r="D83" s="17" t="e">
        <f>_xlfn.RANK.EQ(C83,($C83,$G83,$K83,$O83,$S83,$W83,$AB83,$AF83,$AJ83,$AN83),1)</f>
        <v>#N/A</v>
      </c>
      <c r="E83" s="33" t="str">
        <f t="shared" si="12"/>
        <v/>
      </c>
      <c r="F83" s="17"/>
      <c r="G83" s="17"/>
      <c r="H83" s="17" t="e">
        <f>_xlfn.RANK.EQ(G83,($C83,$G83,$K83,$O83,$S83,$W83,$AA83,$AE83,$AI83,$AM83),1)</f>
        <v>#N/A</v>
      </c>
      <c r="I83" s="33" t="str">
        <f t="shared" si="14"/>
        <v/>
      </c>
      <c r="J83" s="17"/>
      <c r="K83" s="17"/>
      <c r="L83" s="17" t="e">
        <f>_xlfn.RANK.EQ(K83,($C83,$G83,$K83,$O83,$S83,$W83,$AA83,$AE83,$AI83,$AM83),1)</f>
        <v>#N/A</v>
      </c>
      <c r="M83" s="33" t="str">
        <f t="shared" si="15"/>
        <v/>
      </c>
      <c r="N83" s="17"/>
      <c r="O83" s="17"/>
      <c r="P83" s="17" t="e">
        <f>_xlfn.RANK.EQ(O83,($C83,$G83,$K83,$O83,$S83,$W83,$AA83,$AE83,$AI83,$AM83),1)</f>
        <v>#N/A</v>
      </c>
      <c r="Q83" s="33" t="str">
        <f t="shared" si="16"/>
        <v/>
      </c>
      <c r="R83" s="17"/>
      <c r="S83" s="17"/>
      <c r="T83" s="17" t="e">
        <f>_xlfn.RANK.EQ(S83,($C83,$G83,$K83,$O83,$S83,$W83,$AA83,$AE83,$AI83,$AM83),0)</f>
        <v>#N/A</v>
      </c>
      <c r="U83" s="33" t="str">
        <f t="shared" si="10"/>
        <v/>
      </c>
      <c r="V83" s="17"/>
      <c r="W83" s="17"/>
      <c r="X83" s="17" t="e">
        <f>_xlfn.RANK.EQ(W83,($C83,$G83,$K83,$O83,$S83,$W83,$AA83,$AE83,$AI83,$AM83),1)</f>
        <v>#N/A</v>
      </c>
      <c r="Y83" s="33" t="str">
        <f t="shared" si="13"/>
        <v/>
      </c>
      <c r="Z83" s="17"/>
      <c r="AA83" s="17"/>
      <c r="AB83" s="17" t="e">
        <f>_xlfn.RANK.EQ(AA83,($C83,$G83,$K83,$O83,$S83,$W83,$AA83,$AE83,$AI83,$AM83),1)</f>
        <v>#N/A</v>
      </c>
      <c r="AC83" s="33" t="str">
        <f t="shared" si="17"/>
        <v/>
      </c>
      <c r="AD83" s="17"/>
      <c r="AE83" s="17"/>
      <c r="AF83" s="17" t="e">
        <f>_xlfn.RANK.EQ(AE83,($C83,$G83,$K83,$O83,$S83,$W83,$AA83,$AE83,$AI83,$AM83),1)</f>
        <v>#N/A</v>
      </c>
      <c r="AG83" s="33" t="str">
        <f t="shared" si="18"/>
        <v/>
      </c>
      <c r="AH83" s="17"/>
      <c r="AI83" s="17"/>
      <c r="AJ83" s="17" t="e">
        <f>_xlfn.RANK.EQ(AI83,($C83,$G83,$K83,$O83,$S83,$W83,$AA83,$AE83,$AI83,$AM83),1)</f>
        <v>#N/A</v>
      </c>
      <c r="AK83" s="33" t="str">
        <f t="shared" si="11"/>
        <v/>
      </c>
      <c r="AL83" s="17"/>
      <c r="AM83" s="17"/>
      <c r="AN83" s="17" t="e">
        <f>_xlfn.RANK.EQ(AM83,($C83,$G83,$K83,$O83,$S83,$W83,$AA83,$AE83,$AI83,$AM83),1)</f>
        <v>#N/A</v>
      </c>
      <c r="AO83" s="33" t="str">
        <f t="shared" si="19"/>
        <v/>
      </c>
      <c r="AP83" s="17"/>
    </row>
    <row r="84" spans="1:42" x14ac:dyDescent="0.3">
      <c r="A84" s="77">
        <v>25</v>
      </c>
      <c r="B84" s="31" t="s">
        <v>61</v>
      </c>
      <c r="C84" s="33"/>
      <c r="D84" s="17" t="e">
        <f>_xlfn.RANK.EQ(C84,($C84,$G84,$K84,$O84,$S84,$W84,$AB84,$AF84,$AJ84,$AN84),1)</f>
        <v>#N/A</v>
      </c>
      <c r="E84" s="33" t="str">
        <f t="shared" si="12"/>
        <v/>
      </c>
      <c r="F84" s="17"/>
      <c r="G84" s="17"/>
      <c r="H84" s="17" t="e">
        <f>_xlfn.RANK.EQ(G84,($C84,$G84,$K84,$O84,$S84,$W84,$AA84,$AE84,$AI84,$AM84),1)</f>
        <v>#N/A</v>
      </c>
      <c r="I84" s="33" t="str">
        <f t="shared" si="14"/>
        <v/>
      </c>
      <c r="J84" s="17"/>
      <c r="K84" s="17"/>
      <c r="L84" s="17" t="e">
        <f>_xlfn.RANK.EQ(K84,($C84,$G84,$K84,$O84,$S84,$W84,$AA84,$AE84,$AI84,$AM84),1)</f>
        <v>#N/A</v>
      </c>
      <c r="M84" s="33" t="str">
        <f t="shared" si="15"/>
        <v/>
      </c>
      <c r="N84" s="17"/>
      <c r="O84" s="17"/>
      <c r="P84" s="17" t="e">
        <f>_xlfn.RANK.EQ(O84,($C84,$G84,$K84,$O84,$S84,$W84,$AA84,$AE84,$AI84,$AM84),1)</f>
        <v>#N/A</v>
      </c>
      <c r="Q84" s="33" t="str">
        <f t="shared" si="16"/>
        <v/>
      </c>
      <c r="R84" s="17"/>
      <c r="S84" s="17"/>
      <c r="T84" s="17" t="e">
        <f>_xlfn.RANK.EQ(S84,($C84,$G84,$K84,$O84,$S84,$W84,$AA84,$AE84,$AI84,$AM84),0)</f>
        <v>#N/A</v>
      </c>
      <c r="U84" s="33" t="str">
        <f t="shared" si="10"/>
        <v/>
      </c>
      <c r="V84" s="17"/>
      <c r="W84" s="17"/>
      <c r="X84" s="17" t="e">
        <f>_xlfn.RANK.EQ(W84,($C84,$G84,$K84,$O84,$S84,$W84,$AA84,$AE84,$AI84,$AM84),1)</f>
        <v>#N/A</v>
      </c>
      <c r="Y84" s="33" t="str">
        <f t="shared" si="13"/>
        <v/>
      </c>
      <c r="Z84" s="17"/>
      <c r="AA84" s="17"/>
      <c r="AB84" s="17" t="e">
        <f>_xlfn.RANK.EQ(AA84,($C84,$G84,$K84,$O84,$S84,$W84,$AA84,$AE84,$AI84,$AM84),1)</f>
        <v>#N/A</v>
      </c>
      <c r="AC84" s="33" t="str">
        <f t="shared" si="17"/>
        <v/>
      </c>
      <c r="AD84" s="17"/>
      <c r="AE84" s="17"/>
      <c r="AF84" s="17" t="e">
        <f>_xlfn.RANK.EQ(AE84,($C84,$G84,$K84,$O84,$S84,$W84,$AA84,$AE84,$AI84,$AM84),1)</f>
        <v>#N/A</v>
      </c>
      <c r="AG84" s="33" t="str">
        <f t="shared" si="18"/>
        <v/>
      </c>
      <c r="AH84" s="17"/>
      <c r="AI84" s="17"/>
      <c r="AJ84" s="17" t="e">
        <f>_xlfn.RANK.EQ(AI84,($C84,$G84,$K84,$O84,$S84,$W84,$AA84,$AE84,$AI84,$AM84),1)</f>
        <v>#N/A</v>
      </c>
      <c r="AK84" s="33" t="str">
        <f t="shared" si="11"/>
        <v/>
      </c>
      <c r="AL84" s="17"/>
      <c r="AM84" s="17"/>
      <c r="AN84" s="17" t="e">
        <f>_xlfn.RANK.EQ(AM84,($C84,$G84,$K84,$O84,$S84,$W84,$AA84,$AE84,$AI84,$AM84),1)</f>
        <v>#N/A</v>
      </c>
      <c r="AO84" s="33" t="str">
        <f t="shared" si="19"/>
        <v/>
      </c>
      <c r="AP84" s="17"/>
    </row>
    <row r="85" spans="1:42" x14ac:dyDescent="0.3">
      <c r="A85" s="77"/>
      <c r="B85" s="31" t="s">
        <v>62</v>
      </c>
      <c r="C85" s="33"/>
      <c r="D85" s="17" t="e">
        <f>_xlfn.RANK.EQ(C85,($C85,$G85,$K85,$O85,$S85,$W85,$AB85,$AF85,$AJ85,$AN85),1)</f>
        <v>#N/A</v>
      </c>
      <c r="E85" s="33" t="str">
        <f t="shared" si="12"/>
        <v/>
      </c>
      <c r="F85" s="17"/>
      <c r="G85" s="17"/>
      <c r="H85" s="17" t="e">
        <f>_xlfn.RANK.EQ(G85,($C85,$G85,$K85,$O85,$S85,$W85,$AA85,$AE85,$AI85,$AM85),1)</f>
        <v>#N/A</v>
      </c>
      <c r="I85" s="33" t="str">
        <f t="shared" si="14"/>
        <v/>
      </c>
      <c r="J85" s="17"/>
      <c r="K85" s="17"/>
      <c r="L85" s="17" t="e">
        <f>_xlfn.RANK.EQ(K85,($C85,$G85,$K85,$O85,$S85,$W85,$AA85,$AE85,$AI85,$AM85),1)</f>
        <v>#N/A</v>
      </c>
      <c r="M85" s="33" t="str">
        <f t="shared" si="15"/>
        <v/>
      </c>
      <c r="N85" s="17"/>
      <c r="O85" s="17"/>
      <c r="P85" s="17" t="e">
        <f>_xlfn.RANK.EQ(O85,($C85,$G85,$K85,$O85,$S85,$W85,$AA85,$AE85,$AI85,$AM85),1)</f>
        <v>#N/A</v>
      </c>
      <c r="Q85" s="33" t="str">
        <f t="shared" si="16"/>
        <v/>
      </c>
      <c r="R85" s="17"/>
      <c r="S85" s="17"/>
      <c r="T85" s="17" t="e">
        <f>_xlfn.RANK.EQ(S85,($C85,$G85,$K85,$O85,$S85,$W85,$AA85,$AE85,$AI85,$AM85),0)</f>
        <v>#N/A</v>
      </c>
      <c r="U85" s="33" t="str">
        <f t="shared" si="10"/>
        <v/>
      </c>
      <c r="V85" s="17"/>
      <c r="W85" s="17"/>
      <c r="X85" s="17" t="e">
        <f>_xlfn.RANK.EQ(W85,($C85,$G85,$K85,$O85,$S85,$W85,$AA85,$AE85,$AI85,$AM85),1)</f>
        <v>#N/A</v>
      </c>
      <c r="Y85" s="33" t="str">
        <f t="shared" si="13"/>
        <v/>
      </c>
      <c r="Z85" s="17"/>
      <c r="AA85" s="17"/>
      <c r="AB85" s="17" t="e">
        <f>_xlfn.RANK.EQ(AA85,($C85,$G85,$K85,$O85,$S85,$W85,$AA85,$AE85,$AI85,$AM85),1)</f>
        <v>#N/A</v>
      </c>
      <c r="AC85" s="33" t="str">
        <f t="shared" si="17"/>
        <v/>
      </c>
      <c r="AD85" s="17"/>
      <c r="AE85" s="17"/>
      <c r="AF85" s="17" t="e">
        <f>_xlfn.RANK.EQ(AE85,($C85,$G85,$K85,$O85,$S85,$W85,$AA85,$AE85,$AI85,$AM85),1)</f>
        <v>#N/A</v>
      </c>
      <c r="AG85" s="33" t="str">
        <f t="shared" si="18"/>
        <v/>
      </c>
      <c r="AH85" s="17"/>
      <c r="AI85" s="17"/>
      <c r="AJ85" s="17" t="e">
        <f>_xlfn.RANK.EQ(AI85,($C85,$G85,$K85,$O85,$S85,$W85,$AA85,$AE85,$AI85,$AM85),1)</f>
        <v>#N/A</v>
      </c>
      <c r="AK85" s="33" t="str">
        <f t="shared" si="11"/>
        <v/>
      </c>
      <c r="AL85" s="17"/>
      <c r="AM85" s="17"/>
      <c r="AN85" s="17" t="e">
        <f>_xlfn.RANK.EQ(AM85,($C85,$G85,$K85,$O85,$S85,$W85,$AA85,$AE85,$AI85,$AM85),1)</f>
        <v>#N/A</v>
      </c>
      <c r="AO85" s="33" t="str">
        <f t="shared" si="19"/>
        <v/>
      </c>
      <c r="AP85" s="17"/>
    </row>
    <row r="86" spans="1:42" x14ac:dyDescent="0.3">
      <c r="A86" s="77"/>
      <c r="B86" s="31" t="s">
        <v>63</v>
      </c>
      <c r="C86" s="33"/>
      <c r="D86" s="17" t="e">
        <f>_xlfn.RANK.EQ(C86,($C86,$G86,$K86,$O86,$S86,$W86,$AB86,$AF86,$AJ86,$AN86),1)</f>
        <v>#N/A</v>
      </c>
      <c r="E86" s="33" t="str">
        <f t="shared" si="12"/>
        <v/>
      </c>
      <c r="F86" s="17"/>
      <c r="G86" s="17"/>
      <c r="H86" s="17" t="e">
        <f>_xlfn.RANK.EQ(G86,($C86,$G86,$K86,$O86,$S86,$W86,$AA86,$AE86,$AI86,$AM86),1)</f>
        <v>#N/A</v>
      </c>
      <c r="I86" s="33" t="str">
        <f t="shared" si="14"/>
        <v/>
      </c>
      <c r="J86" s="17"/>
      <c r="K86" s="17"/>
      <c r="L86" s="17" t="e">
        <f>_xlfn.RANK.EQ(K86,($C86,$G86,$K86,$O86,$S86,$W86,$AA86,$AE86,$AI86,$AM86),1)</f>
        <v>#N/A</v>
      </c>
      <c r="M86" s="33" t="str">
        <f t="shared" si="15"/>
        <v/>
      </c>
      <c r="N86" s="17"/>
      <c r="O86" s="17"/>
      <c r="P86" s="17" t="e">
        <f>_xlfn.RANK.EQ(O86,($C86,$G86,$K86,$O86,$S86,$W86,$AA86,$AE86,$AI86,$AM86),1)</f>
        <v>#N/A</v>
      </c>
      <c r="Q86" s="33" t="str">
        <f t="shared" si="16"/>
        <v/>
      </c>
      <c r="R86" s="17"/>
      <c r="S86" s="17"/>
      <c r="T86" s="17" t="e">
        <f>_xlfn.RANK.EQ(S86,($C86,$G86,$K86,$O86,$S86,$W86,$AA86,$AE86,$AI86,$AM86),0)</f>
        <v>#N/A</v>
      </c>
      <c r="U86" s="33" t="str">
        <f t="shared" si="10"/>
        <v/>
      </c>
      <c r="V86" s="17"/>
      <c r="W86" s="17"/>
      <c r="X86" s="17" t="e">
        <f>_xlfn.RANK.EQ(W86,($C86,$G86,$K86,$O86,$S86,$W86,$AA86,$AE86,$AI86,$AM86),1)</f>
        <v>#N/A</v>
      </c>
      <c r="Y86" s="33" t="str">
        <f t="shared" si="13"/>
        <v/>
      </c>
      <c r="Z86" s="17"/>
      <c r="AA86" s="17"/>
      <c r="AB86" s="17" t="e">
        <f>_xlfn.RANK.EQ(AA86,($C86,$G86,$K86,$O86,$S86,$W86,$AA86,$AE86,$AI86,$AM86),1)</f>
        <v>#N/A</v>
      </c>
      <c r="AC86" s="33" t="str">
        <f t="shared" si="17"/>
        <v/>
      </c>
      <c r="AD86" s="17"/>
      <c r="AE86" s="17"/>
      <c r="AF86" s="17" t="e">
        <f>_xlfn.RANK.EQ(AE86,($C86,$G86,$K86,$O86,$S86,$W86,$AA86,$AE86,$AI86,$AM86),1)</f>
        <v>#N/A</v>
      </c>
      <c r="AG86" s="33" t="str">
        <f t="shared" si="18"/>
        <v/>
      </c>
      <c r="AH86" s="17"/>
      <c r="AI86" s="17"/>
      <c r="AJ86" s="17" t="e">
        <f>_xlfn.RANK.EQ(AI86,($C86,$G86,$K86,$O86,$S86,$W86,$AA86,$AE86,$AI86,$AM86),1)</f>
        <v>#N/A</v>
      </c>
      <c r="AK86" s="33" t="str">
        <f t="shared" si="11"/>
        <v/>
      </c>
      <c r="AL86" s="17"/>
      <c r="AM86" s="17"/>
      <c r="AN86" s="17" t="e">
        <f>_xlfn.RANK.EQ(AM86,($C86,$G86,$K86,$O86,$S86,$W86,$AA86,$AE86,$AI86,$AM86),1)</f>
        <v>#N/A</v>
      </c>
      <c r="AO86" s="33" t="str">
        <f t="shared" si="19"/>
        <v/>
      </c>
      <c r="AP86" s="17"/>
    </row>
    <row r="87" spans="1:42" x14ac:dyDescent="0.3">
      <c r="A87" s="77">
        <v>26</v>
      </c>
      <c r="B87" s="31" t="s">
        <v>61</v>
      </c>
      <c r="C87" s="33"/>
      <c r="D87" s="17" t="e">
        <f>_xlfn.RANK.EQ(C87,($C87,$G87,$K87,$O87,$S87,$W87,$AB87,$AF87,$AJ87,$AN87),1)</f>
        <v>#N/A</v>
      </c>
      <c r="E87" s="33" t="str">
        <f t="shared" si="12"/>
        <v/>
      </c>
      <c r="F87" s="17"/>
      <c r="G87" s="17"/>
      <c r="H87" s="17" t="e">
        <f>_xlfn.RANK.EQ(G87,($C87,$G87,$K87,$O87,$S87,$W87,$AA87,$AE87,$AI87,$AM87),1)</f>
        <v>#N/A</v>
      </c>
      <c r="I87" s="33" t="str">
        <f t="shared" si="14"/>
        <v/>
      </c>
      <c r="J87" s="17"/>
      <c r="K87" s="17"/>
      <c r="L87" s="17" t="e">
        <f>_xlfn.RANK.EQ(K87,($C87,$G87,$K87,$O87,$S87,$W87,$AA87,$AE87,$AI87,$AM87),1)</f>
        <v>#N/A</v>
      </c>
      <c r="M87" s="33" t="str">
        <f t="shared" si="15"/>
        <v/>
      </c>
      <c r="N87" s="17"/>
      <c r="O87" s="17"/>
      <c r="P87" s="17" t="e">
        <f>_xlfn.RANK.EQ(O87,($C87,$G87,$K87,$O87,$S87,$W87,$AA87,$AE87,$AI87,$AM87),1)</f>
        <v>#N/A</v>
      </c>
      <c r="Q87" s="33" t="str">
        <f t="shared" si="16"/>
        <v/>
      </c>
      <c r="R87" s="17"/>
      <c r="S87" s="17"/>
      <c r="T87" s="17" t="e">
        <f>_xlfn.RANK.EQ(S87,($C87,$G87,$K87,$O87,$S87,$W87,$AA87,$AE87,$AI87,$AM87),0)</f>
        <v>#N/A</v>
      </c>
      <c r="U87" s="33" t="str">
        <f t="shared" si="10"/>
        <v/>
      </c>
      <c r="V87" s="17"/>
      <c r="W87" s="17"/>
      <c r="X87" s="17" t="e">
        <f>_xlfn.RANK.EQ(W87,($C87,$G87,$K87,$O87,$S87,$W87,$AA87,$AE87,$AI87,$AM87),1)</f>
        <v>#N/A</v>
      </c>
      <c r="Y87" s="33" t="str">
        <f t="shared" si="13"/>
        <v/>
      </c>
      <c r="Z87" s="17"/>
      <c r="AA87" s="17"/>
      <c r="AB87" s="17" t="e">
        <f>_xlfn.RANK.EQ(AA87,($C87,$G87,$K87,$O87,$S87,$W87,$AA87,$AE87,$AI87,$AM87),1)</f>
        <v>#N/A</v>
      </c>
      <c r="AC87" s="33" t="str">
        <f t="shared" si="17"/>
        <v/>
      </c>
      <c r="AD87" s="17"/>
      <c r="AE87" s="17"/>
      <c r="AF87" s="17" t="e">
        <f>_xlfn.RANK.EQ(AE87,($C87,$G87,$K87,$O87,$S87,$W87,$AA87,$AE87,$AI87,$AM87),1)</f>
        <v>#N/A</v>
      </c>
      <c r="AG87" s="33" t="str">
        <f t="shared" si="18"/>
        <v/>
      </c>
      <c r="AH87" s="17"/>
      <c r="AI87" s="17"/>
      <c r="AJ87" s="17" t="e">
        <f>_xlfn.RANK.EQ(AI87,($C87,$G87,$K87,$O87,$S87,$W87,$AA87,$AE87,$AI87,$AM87),1)</f>
        <v>#N/A</v>
      </c>
      <c r="AK87" s="33" t="str">
        <f t="shared" si="11"/>
        <v/>
      </c>
      <c r="AL87" s="17"/>
      <c r="AM87" s="17"/>
      <c r="AN87" s="17" t="e">
        <f>_xlfn.RANK.EQ(AM87,($C87,$G87,$K87,$O87,$S87,$W87,$AA87,$AE87,$AI87,$AM87),1)</f>
        <v>#N/A</v>
      </c>
      <c r="AO87" s="33" t="str">
        <f t="shared" si="19"/>
        <v/>
      </c>
      <c r="AP87" s="17"/>
    </row>
    <row r="88" spans="1:42" x14ac:dyDescent="0.3">
      <c r="A88" s="77"/>
      <c r="B88" s="31" t="s">
        <v>62</v>
      </c>
      <c r="C88" s="33"/>
      <c r="D88" s="17" t="e">
        <f>_xlfn.RANK.EQ(C88,($C88,$G88,$K88,$O88,$S88,$W88,$AB88,$AF88,$AJ88,$AN88),1)</f>
        <v>#N/A</v>
      </c>
      <c r="E88" s="33" t="str">
        <f t="shared" si="12"/>
        <v/>
      </c>
      <c r="F88" s="17"/>
      <c r="G88" s="17"/>
      <c r="H88" s="17" t="e">
        <f>_xlfn.RANK.EQ(G88,($C88,$G88,$K88,$O88,$S88,$W88,$AA88,$AE88,$AI88,$AM88),1)</f>
        <v>#N/A</v>
      </c>
      <c r="I88" s="33" t="str">
        <f t="shared" si="14"/>
        <v/>
      </c>
      <c r="J88" s="17"/>
      <c r="K88" s="17"/>
      <c r="L88" s="17" t="e">
        <f>_xlfn.RANK.EQ(K88,($C88,$G88,$K88,$O88,$S88,$W88,$AA88,$AE88,$AI88,$AM88),1)</f>
        <v>#N/A</v>
      </c>
      <c r="M88" s="33" t="str">
        <f t="shared" si="15"/>
        <v/>
      </c>
      <c r="N88" s="17"/>
      <c r="O88" s="17"/>
      <c r="P88" s="17" t="e">
        <f>_xlfn.RANK.EQ(O88,($C88,$G88,$K88,$O88,$S88,$W88,$AA88,$AE88,$AI88,$AM88),1)</f>
        <v>#N/A</v>
      </c>
      <c r="Q88" s="33" t="str">
        <f t="shared" si="16"/>
        <v/>
      </c>
      <c r="R88" s="17"/>
      <c r="S88" s="17"/>
      <c r="T88" s="17" t="e">
        <f>_xlfn.RANK.EQ(S88,($C88,$G88,$K88,$O88,$S88,$W88,$AA88,$AE88,$AI88,$AM88),0)</f>
        <v>#N/A</v>
      </c>
      <c r="U88" s="33" t="str">
        <f t="shared" si="10"/>
        <v/>
      </c>
      <c r="V88" s="17"/>
      <c r="W88" s="17"/>
      <c r="X88" s="17" t="e">
        <f>_xlfn.RANK.EQ(W88,($C88,$G88,$K88,$O88,$S88,$W88,$AA88,$AE88,$AI88,$AM88),1)</f>
        <v>#N/A</v>
      </c>
      <c r="Y88" s="33" t="str">
        <f t="shared" si="13"/>
        <v/>
      </c>
      <c r="Z88" s="17"/>
      <c r="AA88" s="17"/>
      <c r="AB88" s="17" t="e">
        <f>_xlfn.RANK.EQ(AA88,($C88,$G88,$K88,$O88,$S88,$W88,$AA88,$AE88,$AI88,$AM88),1)</f>
        <v>#N/A</v>
      </c>
      <c r="AC88" s="33" t="str">
        <f t="shared" si="17"/>
        <v/>
      </c>
      <c r="AD88" s="17"/>
      <c r="AE88" s="17"/>
      <c r="AF88" s="17" t="e">
        <f>_xlfn.RANK.EQ(AE88,($C88,$G88,$K88,$O88,$S88,$W88,$AA88,$AE88,$AI88,$AM88),1)</f>
        <v>#N/A</v>
      </c>
      <c r="AG88" s="33" t="str">
        <f t="shared" si="18"/>
        <v/>
      </c>
      <c r="AH88" s="17"/>
      <c r="AI88" s="17"/>
      <c r="AJ88" s="17" t="e">
        <f>_xlfn.RANK.EQ(AI88,($C88,$G88,$K88,$O88,$S88,$W88,$AA88,$AE88,$AI88,$AM88),1)</f>
        <v>#N/A</v>
      </c>
      <c r="AK88" s="33" t="str">
        <f t="shared" si="11"/>
        <v/>
      </c>
      <c r="AL88" s="17"/>
      <c r="AM88" s="17"/>
      <c r="AN88" s="17" t="e">
        <f>_xlfn.RANK.EQ(AM88,($C88,$G88,$K88,$O88,$S88,$W88,$AA88,$AE88,$AI88,$AM88),1)</f>
        <v>#N/A</v>
      </c>
      <c r="AO88" s="33" t="str">
        <f t="shared" si="19"/>
        <v/>
      </c>
      <c r="AP88" s="17"/>
    </row>
    <row r="89" spans="1:42" x14ac:dyDescent="0.3">
      <c r="A89" s="77"/>
      <c r="B89" s="31" t="s">
        <v>63</v>
      </c>
      <c r="C89" s="33"/>
      <c r="D89" s="17" t="e">
        <f>_xlfn.RANK.EQ(C89,($C89,$G89,$K89,$O89,$S89,$W89,$AB89,$AF89,$AJ89,$AN89),1)</f>
        <v>#N/A</v>
      </c>
      <c r="E89" s="33" t="str">
        <f t="shared" si="12"/>
        <v/>
      </c>
      <c r="F89" s="17"/>
      <c r="G89" s="17"/>
      <c r="H89" s="17" t="e">
        <f>_xlfn.RANK.EQ(G89,($C89,$G89,$K89,$O89,$S89,$W89,$AA89,$AE89,$AI89,$AM89),1)</f>
        <v>#N/A</v>
      </c>
      <c r="I89" s="33" t="str">
        <f t="shared" si="14"/>
        <v/>
      </c>
      <c r="J89" s="17"/>
      <c r="K89" s="17"/>
      <c r="L89" s="17" t="e">
        <f>_xlfn.RANK.EQ(K89,($C89,$G89,$K89,$O89,$S89,$W89,$AA89,$AE89,$AI89,$AM89),1)</f>
        <v>#N/A</v>
      </c>
      <c r="M89" s="33" t="str">
        <f t="shared" si="15"/>
        <v/>
      </c>
      <c r="N89" s="17"/>
      <c r="O89" s="17"/>
      <c r="P89" s="17" t="e">
        <f>_xlfn.RANK.EQ(O89,($C89,$G89,$K89,$O89,$S89,$W89,$AA89,$AE89,$AI89,$AM89),1)</f>
        <v>#N/A</v>
      </c>
      <c r="Q89" s="33" t="str">
        <f t="shared" si="16"/>
        <v/>
      </c>
      <c r="R89" s="17"/>
      <c r="S89" s="17"/>
      <c r="T89" s="17" t="e">
        <f>_xlfn.RANK.EQ(S89,($C89,$G89,$K89,$O89,$S89,$W89,$AA89,$AE89,$AI89,$AM89),0)</f>
        <v>#N/A</v>
      </c>
      <c r="U89" s="33" t="str">
        <f t="shared" si="10"/>
        <v/>
      </c>
      <c r="V89" s="17"/>
      <c r="W89" s="17"/>
      <c r="X89" s="17" t="e">
        <f>_xlfn.RANK.EQ(W89,($C89,$G89,$K89,$O89,$S89,$W89,$AA89,$AE89,$AI89,$AM89),1)</f>
        <v>#N/A</v>
      </c>
      <c r="Y89" s="33" t="str">
        <f t="shared" si="13"/>
        <v/>
      </c>
      <c r="Z89" s="17"/>
      <c r="AA89" s="17"/>
      <c r="AB89" s="17" t="e">
        <f>_xlfn.RANK.EQ(AA89,($C89,$G89,$K89,$O89,$S89,$W89,$AA89,$AE89,$AI89,$AM89),1)</f>
        <v>#N/A</v>
      </c>
      <c r="AC89" s="33" t="str">
        <f t="shared" si="17"/>
        <v/>
      </c>
      <c r="AD89" s="17"/>
      <c r="AE89" s="17"/>
      <c r="AF89" s="17" t="e">
        <f>_xlfn.RANK.EQ(AE89,($C89,$G89,$K89,$O89,$S89,$W89,$AA89,$AE89,$AI89,$AM89),1)</f>
        <v>#N/A</v>
      </c>
      <c r="AG89" s="33" t="str">
        <f t="shared" si="18"/>
        <v/>
      </c>
      <c r="AH89" s="17"/>
      <c r="AI89" s="17"/>
      <c r="AJ89" s="17" t="e">
        <f>_xlfn.RANK.EQ(AI89,($C89,$G89,$K89,$O89,$S89,$W89,$AA89,$AE89,$AI89,$AM89),1)</f>
        <v>#N/A</v>
      </c>
      <c r="AK89" s="33" t="str">
        <f t="shared" si="11"/>
        <v/>
      </c>
      <c r="AL89" s="17"/>
      <c r="AM89" s="17"/>
      <c r="AN89" s="17" t="e">
        <f>_xlfn.RANK.EQ(AM89,($C89,$G89,$K89,$O89,$S89,$W89,$AA89,$AE89,$AI89,$AM89),1)</f>
        <v>#N/A</v>
      </c>
      <c r="AO89" s="33" t="str">
        <f t="shared" si="19"/>
        <v/>
      </c>
      <c r="AP89" s="17"/>
    </row>
    <row r="90" spans="1:42" x14ac:dyDescent="0.3">
      <c r="A90" s="77">
        <v>27</v>
      </c>
      <c r="B90" s="31" t="s">
        <v>61</v>
      </c>
      <c r="C90" s="33"/>
      <c r="D90" s="17" t="e">
        <f>_xlfn.RANK.EQ(C90,($C90,$G90,$K90,$O90,$S90,$W90,$AB90,$AF90,$AJ90,$AN90),1)</f>
        <v>#N/A</v>
      </c>
      <c r="E90" s="33" t="str">
        <f t="shared" si="12"/>
        <v/>
      </c>
      <c r="F90" s="17"/>
      <c r="G90" s="17"/>
      <c r="H90" s="17" t="e">
        <f>_xlfn.RANK.EQ(G90,($C90,$G90,$K90,$O90,$S90,$W90,$AA90,$AE90,$AI90,$AM90),1)</f>
        <v>#N/A</v>
      </c>
      <c r="I90" s="33" t="str">
        <f t="shared" si="14"/>
        <v/>
      </c>
      <c r="J90" s="17"/>
      <c r="K90" s="17"/>
      <c r="L90" s="17" t="e">
        <f>_xlfn.RANK.EQ(K90,($C90,$G90,$K90,$O90,$S90,$W90,$AA90,$AE90,$AI90,$AM90),1)</f>
        <v>#N/A</v>
      </c>
      <c r="M90" s="33" t="str">
        <f t="shared" si="15"/>
        <v/>
      </c>
      <c r="N90" s="17"/>
      <c r="O90" s="17"/>
      <c r="P90" s="17" t="e">
        <f>_xlfn.RANK.EQ(O90,($C90,$G90,$K90,$O90,$S90,$W90,$AA90,$AE90,$AI90,$AM90),1)</f>
        <v>#N/A</v>
      </c>
      <c r="Q90" s="33" t="str">
        <f t="shared" si="16"/>
        <v/>
      </c>
      <c r="R90" s="17"/>
      <c r="S90" s="17"/>
      <c r="T90" s="17" t="e">
        <f>_xlfn.RANK.EQ(S90,($C90,$G90,$K90,$O90,$S90,$W90,$AA90,$AE90,$AI90,$AM90),0)</f>
        <v>#N/A</v>
      </c>
      <c r="U90" s="33" t="str">
        <f t="shared" si="10"/>
        <v/>
      </c>
      <c r="V90" s="17"/>
      <c r="W90" s="17"/>
      <c r="X90" s="17" t="e">
        <f>_xlfn.RANK.EQ(W90,($C90,$G90,$K90,$O90,$S90,$W90,$AA90,$AE90,$AI90,$AM90),1)</f>
        <v>#N/A</v>
      </c>
      <c r="Y90" s="33" t="str">
        <f t="shared" si="13"/>
        <v/>
      </c>
      <c r="Z90" s="17"/>
      <c r="AA90" s="17"/>
      <c r="AB90" s="17" t="e">
        <f>_xlfn.RANK.EQ(AA90,($C90,$G90,$K90,$O90,$S90,$W90,$AA90,$AE90,$AI90,$AM90),1)</f>
        <v>#N/A</v>
      </c>
      <c r="AC90" s="33" t="str">
        <f t="shared" si="17"/>
        <v/>
      </c>
      <c r="AD90" s="17"/>
      <c r="AE90" s="17"/>
      <c r="AF90" s="17" t="e">
        <f>_xlfn.RANK.EQ(AE90,($C90,$G90,$K90,$O90,$S90,$W90,$AA90,$AE90,$AI90,$AM90),1)</f>
        <v>#N/A</v>
      </c>
      <c r="AG90" s="33" t="str">
        <f t="shared" si="18"/>
        <v/>
      </c>
      <c r="AH90" s="17"/>
      <c r="AI90" s="17"/>
      <c r="AJ90" s="17" t="e">
        <f>_xlfn.RANK.EQ(AI90,($C90,$G90,$K90,$O90,$S90,$W90,$AA90,$AE90,$AI90,$AM90),1)</f>
        <v>#N/A</v>
      </c>
      <c r="AK90" s="33" t="str">
        <f t="shared" si="11"/>
        <v/>
      </c>
      <c r="AL90" s="17"/>
      <c r="AM90" s="17"/>
      <c r="AN90" s="17" t="e">
        <f>_xlfn.RANK.EQ(AM90,($C90,$G90,$K90,$O90,$S90,$W90,$AA90,$AE90,$AI90,$AM90),1)</f>
        <v>#N/A</v>
      </c>
      <c r="AO90" s="33" t="str">
        <f t="shared" si="19"/>
        <v/>
      </c>
      <c r="AP90" s="17"/>
    </row>
    <row r="91" spans="1:42" x14ac:dyDescent="0.3">
      <c r="A91" s="77"/>
      <c r="B91" s="31" t="s">
        <v>62</v>
      </c>
      <c r="C91" s="33"/>
      <c r="D91" s="17" t="e">
        <f>_xlfn.RANK.EQ(C91,($C91,$G91,$K91,$O91,$S91,$W91,$AB91,$AF91,$AJ91,$AN91),1)</f>
        <v>#N/A</v>
      </c>
      <c r="E91" s="33" t="str">
        <f t="shared" si="12"/>
        <v/>
      </c>
      <c r="F91" s="17"/>
      <c r="G91" s="17"/>
      <c r="H91" s="17" t="e">
        <f>_xlfn.RANK.EQ(G91,($C91,$G91,$K91,$O91,$S91,$W91,$AA91,$AE91,$AI91,$AM91),1)</f>
        <v>#N/A</v>
      </c>
      <c r="I91" s="33" t="str">
        <f t="shared" si="14"/>
        <v/>
      </c>
      <c r="J91" s="17"/>
      <c r="K91" s="17"/>
      <c r="L91" s="17" t="e">
        <f>_xlfn.RANK.EQ(K91,($C91,$G91,$K91,$O91,$S91,$W91,$AA91,$AE91,$AI91,$AM91),1)</f>
        <v>#N/A</v>
      </c>
      <c r="M91" s="33" t="str">
        <f t="shared" si="15"/>
        <v/>
      </c>
      <c r="N91" s="17"/>
      <c r="O91" s="17"/>
      <c r="P91" s="17" t="e">
        <f>_xlfn.RANK.EQ(O91,($C91,$G91,$K91,$O91,$S91,$W91,$AA91,$AE91,$AI91,$AM91),1)</f>
        <v>#N/A</v>
      </c>
      <c r="Q91" s="33" t="str">
        <f t="shared" si="16"/>
        <v/>
      </c>
      <c r="R91" s="17"/>
      <c r="S91" s="17"/>
      <c r="T91" s="17" t="e">
        <f>_xlfn.RANK.EQ(S91,($C91,$G91,$K91,$O91,$S91,$W91,$AA91,$AE91,$AI91,$AM91),0)</f>
        <v>#N/A</v>
      </c>
      <c r="U91" s="33" t="str">
        <f t="shared" si="10"/>
        <v/>
      </c>
      <c r="V91" s="17"/>
      <c r="W91" s="17"/>
      <c r="X91" s="17" t="e">
        <f>_xlfn.RANK.EQ(W91,($C91,$G91,$K91,$O91,$S91,$W91,$AA91,$AE91,$AI91,$AM91),1)</f>
        <v>#N/A</v>
      </c>
      <c r="Y91" s="33" t="str">
        <f t="shared" si="13"/>
        <v/>
      </c>
      <c r="Z91" s="17"/>
      <c r="AA91" s="17"/>
      <c r="AB91" s="17" t="e">
        <f>_xlfn.RANK.EQ(AA91,($C91,$G91,$K91,$O91,$S91,$W91,$AA91,$AE91,$AI91,$AM91),1)</f>
        <v>#N/A</v>
      </c>
      <c r="AC91" s="33" t="str">
        <f t="shared" si="17"/>
        <v/>
      </c>
      <c r="AD91" s="17"/>
      <c r="AE91" s="17"/>
      <c r="AF91" s="17" t="e">
        <f>_xlfn.RANK.EQ(AE91,($C91,$G91,$K91,$O91,$S91,$W91,$AA91,$AE91,$AI91,$AM91),1)</f>
        <v>#N/A</v>
      </c>
      <c r="AG91" s="33" t="str">
        <f t="shared" si="18"/>
        <v/>
      </c>
      <c r="AH91" s="17"/>
      <c r="AI91" s="17"/>
      <c r="AJ91" s="17" t="e">
        <f>_xlfn.RANK.EQ(AI91,($C91,$G91,$K91,$O91,$S91,$W91,$AA91,$AE91,$AI91,$AM91),1)</f>
        <v>#N/A</v>
      </c>
      <c r="AK91" s="33" t="str">
        <f t="shared" si="11"/>
        <v/>
      </c>
      <c r="AL91" s="17"/>
      <c r="AM91" s="17"/>
      <c r="AN91" s="17" t="e">
        <f>_xlfn.RANK.EQ(AM91,($C91,$G91,$K91,$O91,$S91,$W91,$AA91,$AE91,$AI91,$AM91),1)</f>
        <v>#N/A</v>
      </c>
      <c r="AO91" s="33" t="str">
        <f t="shared" si="19"/>
        <v/>
      </c>
      <c r="AP91" s="17"/>
    </row>
    <row r="92" spans="1:42" x14ac:dyDescent="0.3">
      <c r="A92" s="77"/>
      <c r="B92" s="31" t="s">
        <v>63</v>
      </c>
      <c r="C92" s="33"/>
      <c r="D92" s="17" t="e">
        <f>_xlfn.RANK.EQ(C92,($C92,$G92,$K92,$O92,$S92,$W92,$AB92,$AF92,$AJ92,$AN92),1)</f>
        <v>#N/A</v>
      </c>
      <c r="E92" s="33" t="str">
        <f t="shared" si="12"/>
        <v/>
      </c>
      <c r="F92" s="17"/>
      <c r="G92" s="17"/>
      <c r="H92" s="17" t="e">
        <f>_xlfn.RANK.EQ(G92,($C92,$G92,$K92,$O92,$S92,$W92,$AA92,$AE92,$AI92,$AM92),1)</f>
        <v>#N/A</v>
      </c>
      <c r="I92" s="33" t="str">
        <f t="shared" si="14"/>
        <v/>
      </c>
      <c r="J92" s="17"/>
      <c r="K92" s="17"/>
      <c r="L92" s="17" t="e">
        <f>_xlfn.RANK.EQ(K92,($C92,$G92,$K92,$O92,$S92,$W92,$AA92,$AE92,$AI92,$AM92),1)</f>
        <v>#N/A</v>
      </c>
      <c r="M92" s="33" t="str">
        <f t="shared" si="15"/>
        <v/>
      </c>
      <c r="N92" s="17"/>
      <c r="O92" s="17"/>
      <c r="P92" s="17" t="e">
        <f>_xlfn.RANK.EQ(O92,($C92,$G92,$K92,$O92,$S92,$W92,$AA92,$AE92,$AI92,$AM92),1)</f>
        <v>#N/A</v>
      </c>
      <c r="Q92" s="33" t="str">
        <f t="shared" si="16"/>
        <v/>
      </c>
      <c r="R92" s="17"/>
      <c r="S92" s="17"/>
      <c r="T92" s="17" t="e">
        <f>_xlfn.RANK.EQ(S92,($C92,$G92,$K92,$O92,$S92,$W92,$AA92,$AE92,$AI92,$AM92),0)</f>
        <v>#N/A</v>
      </c>
      <c r="U92" s="33" t="str">
        <f t="shared" si="10"/>
        <v/>
      </c>
      <c r="V92" s="17"/>
      <c r="W92" s="17"/>
      <c r="X92" s="17" t="e">
        <f>_xlfn.RANK.EQ(W92,($C92,$G92,$K92,$O92,$S92,$W92,$AA92,$AE92,$AI92,$AM92),1)</f>
        <v>#N/A</v>
      </c>
      <c r="Y92" s="33" t="str">
        <f t="shared" si="13"/>
        <v/>
      </c>
      <c r="Z92" s="17"/>
      <c r="AA92" s="17"/>
      <c r="AB92" s="17" t="e">
        <f>_xlfn.RANK.EQ(AA92,($C92,$G92,$K92,$O92,$S92,$W92,$AA92,$AE92,$AI92,$AM92),1)</f>
        <v>#N/A</v>
      </c>
      <c r="AC92" s="33" t="str">
        <f t="shared" si="17"/>
        <v/>
      </c>
      <c r="AD92" s="17"/>
      <c r="AE92" s="17"/>
      <c r="AF92" s="17" t="e">
        <f>_xlfn.RANK.EQ(AE92,($C92,$G92,$K92,$O92,$S92,$W92,$AA92,$AE92,$AI92,$AM92),1)</f>
        <v>#N/A</v>
      </c>
      <c r="AG92" s="33" t="str">
        <f t="shared" si="18"/>
        <v/>
      </c>
      <c r="AH92" s="17"/>
      <c r="AI92" s="17"/>
      <c r="AJ92" s="17" t="e">
        <f>_xlfn.RANK.EQ(AI92,($C92,$G92,$K92,$O92,$S92,$W92,$AA92,$AE92,$AI92,$AM92),1)</f>
        <v>#N/A</v>
      </c>
      <c r="AK92" s="33" t="str">
        <f t="shared" si="11"/>
        <v/>
      </c>
      <c r="AL92" s="17"/>
      <c r="AM92" s="17"/>
      <c r="AN92" s="17" t="e">
        <f>_xlfn.RANK.EQ(AM92,($C92,$G92,$K92,$O92,$S92,$W92,$AA92,$AE92,$AI92,$AM92),1)</f>
        <v>#N/A</v>
      </c>
      <c r="AO92" s="33" t="str">
        <f t="shared" si="19"/>
        <v/>
      </c>
      <c r="AP92" s="17"/>
    </row>
    <row r="93" spans="1:42" x14ac:dyDescent="0.3">
      <c r="A93" s="77">
        <v>28</v>
      </c>
      <c r="B93" s="31" t="s">
        <v>61</v>
      </c>
      <c r="C93" s="33"/>
      <c r="D93" s="17" t="e">
        <f>_xlfn.RANK.EQ(C93,($C93,$G93,$K93,$O93,$S93,$W93,$AB93,$AF93,$AJ93,$AN93),1)</f>
        <v>#N/A</v>
      </c>
      <c r="E93" s="33" t="str">
        <f t="shared" si="12"/>
        <v/>
      </c>
      <c r="F93" s="17"/>
      <c r="G93" s="17"/>
      <c r="H93" s="17" t="e">
        <f>_xlfn.RANK.EQ(G93,($C93,$G93,$K93,$O93,$S93,$W93,$AA93,$AE93,$AI93,$AM93),1)</f>
        <v>#N/A</v>
      </c>
      <c r="I93" s="33" t="str">
        <f t="shared" si="14"/>
        <v/>
      </c>
      <c r="J93" s="17"/>
      <c r="K93" s="17"/>
      <c r="L93" s="17" t="e">
        <f>_xlfn.RANK.EQ(K93,($C93,$G93,$K93,$O93,$S93,$W93,$AA93,$AE93,$AI93,$AM93),1)</f>
        <v>#N/A</v>
      </c>
      <c r="M93" s="33" t="str">
        <f t="shared" si="15"/>
        <v/>
      </c>
      <c r="N93" s="17"/>
      <c r="O93" s="17"/>
      <c r="P93" s="17" t="e">
        <f>_xlfn.RANK.EQ(O93,($C93,$G93,$K93,$O93,$S93,$W93,$AA93,$AE93,$AI93,$AM93),1)</f>
        <v>#N/A</v>
      </c>
      <c r="Q93" s="33" t="str">
        <f t="shared" si="16"/>
        <v/>
      </c>
      <c r="R93" s="17"/>
      <c r="S93" s="17"/>
      <c r="T93" s="17" t="e">
        <f>_xlfn.RANK.EQ(S93,($C93,$G93,$K93,$O93,$S93,$W93,$AA93,$AE93,$AI93,$AM93),0)</f>
        <v>#N/A</v>
      </c>
      <c r="U93" s="33" t="str">
        <f t="shared" si="10"/>
        <v/>
      </c>
      <c r="V93" s="17"/>
      <c r="W93" s="17"/>
      <c r="X93" s="17" t="e">
        <f>_xlfn.RANK.EQ(W93,($C93,$G93,$K93,$O93,$S93,$W93,$AA93,$AE93,$AI93,$AM93),1)</f>
        <v>#N/A</v>
      </c>
      <c r="Y93" s="33" t="str">
        <f t="shared" si="13"/>
        <v/>
      </c>
      <c r="Z93" s="17"/>
      <c r="AA93" s="17"/>
      <c r="AB93" s="17" t="e">
        <f>_xlfn.RANK.EQ(AA93,($C93,$G93,$K93,$O93,$S93,$W93,$AA93,$AE93,$AI93,$AM93),1)</f>
        <v>#N/A</v>
      </c>
      <c r="AC93" s="33" t="str">
        <f t="shared" si="17"/>
        <v/>
      </c>
      <c r="AD93" s="17"/>
      <c r="AE93" s="17"/>
      <c r="AF93" s="17" t="e">
        <f>_xlfn.RANK.EQ(AE93,($C93,$G93,$K93,$O93,$S93,$W93,$AA93,$AE93,$AI93,$AM93),1)</f>
        <v>#N/A</v>
      </c>
      <c r="AG93" s="33" t="str">
        <f t="shared" si="18"/>
        <v/>
      </c>
      <c r="AH93" s="17"/>
      <c r="AI93" s="17"/>
      <c r="AJ93" s="17" t="e">
        <f>_xlfn.RANK.EQ(AI93,($C93,$G93,$K93,$O93,$S93,$W93,$AA93,$AE93,$AI93,$AM93),1)</f>
        <v>#N/A</v>
      </c>
      <c r="AK93" s="33" t="str">
        <f t="shared" si="11"/>
        <v/>
      </c>
      <c r="AL93" s="17"/>
      <c r="AM93" s="17"/>
      <c r="AN93" s="17" t="e">
        <f>_xlfn.RANK.EQ(AM93,($C93,$G93,$K93,$O93,$S93,$W93,$AA93,$AE93,$AI93,$AM93),1)</f>
        <v>#N/A</v>
      </c>
      <c r="AO93" s="33" t="str">
        <f t="shared" si="19"/>
        <v/>
      </c>
      <c r="AP93" s="17"/>
    </row>
    <row r="94" spans="1:42" x14ac:dyDescent="0.3">
      <c r="A94" s="77"/>
      <c r="B94" s="31" t="s">
        <v>62</v>
      </c>
      <c r="C94" s="33"/>
      <c r="D94" s="17" t="e">
        <f>_xlfn.RANK.EQ(C94,($C94,$G94,$K94,$O94,$S94,$W94,$AB94,$AF94,$AJ94,$AN94),1)</f>
        <v>#N/A</v>
      </c>
      <c r="E94" s="33" t="str">
        <f t="shared" si="12"/>
        <v/>
      </c>
      <c r="F94" s="17"/>
      <c r="G94" s="17"/>
      <c r="H94" s="17" t="e">
        <f>_xlfn.RANK.EQ(G94,($C94,$G94,$K94,$O94,$S94,$W94,$AA94,$AE94,$AI94,$AM94),1)</f>
        <v>#N/A</v>
      </c>
      <c r="I94" s="33" t="str">
        <f t="shared" si="14"/>
        <v/>
      </c>
      <c r="J94" s="17"/>
      <c r="K94" s="17"/>
      <c r="L94" s="17" t="e">
        <f>_xlfn.RANK.EQ(K94,($C94,$G94,$K94,$O94,$S94,$W94,$AA94,$AE94,$AI94,$AM94),1)</f>
        <v>#N/A</v>
      </c>
      <c r="M94" s="33" t="str">
        <f t="shared" si="15"/>
        <v/>
      </c>
      <c r="N94" s="17"/>
      <c r="O94" s="17"/>
      <c r="P94" s="17" t="e">
        <f>_xlfn.RANK.EQ(O94,($C94,$G94,$K94,$O94,$S94,$W94,$AA94,$AE94,$AI94,$AM94),1)</f>
        <v>#N/A</v>
      </c>
      <c r="Q94" s="33" t="str">
        <f t="shared" si="16"/>
        <v/>
      </c>
      <c r="R94" s="17"/>
      <c r="S94" s="17"/>
      <c r="T94" s="17" t="e">
        <f>_xlfn.RANK.EQ(S94,($C94,$G94,$K94,$O94,$S94,$W94,$AA94,$AE94,$AI94,$AM94),0)</f>
        <v>#N/A</v>
      </c>
      <c r="U94" s="33" t="str">
        <f t="shared" si="10"/>
        <v/>
      </c>
      <c r="V94" s="17"/>
      <c r="W94" s="17"/>
      <c r="X94" s="17" t="e">
        <f>_xlfn.RANK.EQ(W94,($C94,$G94,$K94,$O94,$S94,$W94,$AA94,$AE94,$AI94,$AM94),1)</f>
        <v>#N/A</v>
      </c>
      <c r="Y94" s="33" t="str">
        <f t="shared" si="13"/>
        <v/>
      </c>
      <c r="Z94" s="17"/>
      <c r="AA94" s="17"/>
      <c r="AB94" s="17" t="e">
        <f>_xlfn.RANK.EQ(AA94,($C94,$G94,$K94,$O94,$S94,$W94,$AA94,$AE94,$AI94,$AM94),1)</f>
        <v>#N/A</v>
      </c>
      <c r="AC94" s="33" t="str">
        <f t="shared" si="17"/>
        <v/>
      </c>
      <c r="AD94" s="17"/>
      <c r="AE94" s="17"/>
      <c r="AF94" s="17" t="e">
        <f>_xlfn.RANK.EQ(AE94,($C94,$G94,$K94,$O94,$S94,$W94,$AA94,$AE94,$AI94,$AM94),1)</f>
        <v>#N/A</v>
      </c>
      <c r="AG94" s="33" t="str">
        <f t="shared" si="18"/>
        <v/>
      </c>
      <c r="AH94" s="17"/>
      <c r="AI94" s="17"/>
      <c r="AJ94" s="17" t="e">
        <f>_xlfn.RANK.EQ(AI94,($C94,$G94,$K94,$O94,$S94,$W94,$AA94,$AE94,$AI94,$AM94),1)</f>
        <v>#N/A</v>
      </c>
      <c r="AK94" s="33" t="str">
        <f t="shared" si="11"/>
        <v/>
      </c>
      <c r="AL94" s="17"/>
      <c r="AM94" s="17"/>
      <c r="AN94" s="17" t="e">
        <f>_xlfn.RANK.EQ(AM94,($C94,$G94,$K94,$O94,$S94,$W94,$AA94,$AE94,$AI94,$AM94),1)</f>
        <v>#N/A</v>
      </c>
      <c r="AO94" s="33" t="str">
        <f t="shared" si="19"/>
        <v/>
      </c>
      <c r="AP94" s="17"/>
    </row>
    <row r="95" spans="1:42" x14ac:dyDescent="0.3">
      <c r="A95" s="77"/>
      <c r="B95" s="31" t="s">
        <v>63</v>
      </c>
      <c r="C95" s="33"/>
      <c r="D95" s="17" t="e">
        <f>_xlfn.RANK.EQ(C95,($C95,$G95,$K95,$O95,$S95,$W95,$AB95,$AF95,$AJ95,$AN95),1)</f>
        <v>#N/A</v>
      </c>
      <c r="E95" s="33" t="str">
        <f t="shared" si="12"/>
        <v/>
      </c>
      <c r="F95" s="17"/>
      <c r="G95" s="17"/>
      <c r="H95" s="17" t="e">
        <f>_xlfn.RANK.EQ(G95,($C95,$G95,$K95,$O95,$S95,$W95,$AA95,$AE95,$AI95,$AM95),1)</f>
        <v>#N/A</v>
      </c>
      <c r="I95" s="33" t="str">
        <f t="shared" si="14"/>
        <v/>
      </c>
      <c r="J95" s="17"/>
      <c r="K95" s="17"/>
      <c r="L95" s="17" t="e">
        <f>_xlfn.RANK.EQ(K95,($C95,$G95,$K95,$O95,$S95,$W95,$AA95,$AE95,$AI95,$AM95),1)</f>
        <v>#N/A</v>
      </c>
      <c r="M95" s="33" t="str">
        <f t="shared" si="15"/>
        <v/>
      </c>
      <c r="N95" s="17"/>
      <c r="O95" s="17"/>
      <c r="P95" s="17" t="e">
        <f>_xlfn.RANK.EQ(O95,($C95,$G95,$K95,$O95,$S95,$W95,$AA95,$AE95,$AI95,$AM95),1)</f>
        <v>#N/A</v>
      </c>
      <c r="Q95" s="33" t="str">
        <f t="shared" si="16"/>
        <v/>
      </c>
      <c r="R95" s="17"/>
      <c r="S95" s="17"/>
      <c r="T95" s="17" t="e">
        <f>_xlfn.RANK.EQ(S95,($C95,$G95,$K95,$O95,$S95,$W95,$AA95,$AE95,$AI95,$AM95),0)</f>
        <v>#N/A</v>
      </c>
      <c r="U95" s="33" t="str">
        <f t="shared" si="10"/>
        <v/>
      </c>
      <c r="V95" s="17"/>
      <c r="W95" s="17"/>
      <c r="X95" s="17" t="e">
        <f>_xlfn.RANK.EQ(W95,($C95,$G95,$K95,$O95,$S95,$W95,$AA95,$AE95,$AI95,$AM95),1)</f>
        <v>#N/A</v>
      </c>
      <c r="Y95" s="33" t="str">
        <f t="shared" si="13"/>
        <v/>
      </c>
      <c r="Z95" s="17"/>
      <c r="AA95" s="17"/>
      <c r="AB95" s="17" t="e">
        <f>_xlfn.RANK.EQ(AA95,($C95,$G95,$K95,$O95,$S95,$W95,$AA95,$AE95,$AI95,$AM95),1)</f>
        <v>#N/A</v>
      </c>
      <c r="AC95" s="33" t="str">
        <f t="shared" si="17"/>
        <v/>
      </c>
      <c r="AD95" s="17"/>
      <c r="AE95" s="17"/>
      <c r="AF95" s="17" t="e">
        <f>_xlfn.RANK.EQ(AE95,($C95,$G95,$K95,$O95,$S95,$W95,$AA95,$AE95,$AI95,$AM95),1)</f>
        <v>#N/A</v>
      </c>
      <c r="AG95" s="33" t="str">
        <f t="shared" si="18"/>
        <v/>
      </c>
      <c r="AH95" s="17"/>
      <c r="AI95" s="17"/>
      <c r="AJ95" s="17" t="e">
        <f>_xlfn.RANK.EQ(AI95,($C95,$G95,$K95,$O95,$S95,$W95,$AA95,$AE95,$AI95,$AM95),1)</f>
        <v>#N/A</v>
      </c>
      <c r="AK95" s="33" t="str">
        <f t="shared" si="11"/>
        <v/>
      </c>
      <c r="AL95" s="17"/>
      <c r="AM95" s="17"/>
      <c r="AN95" s="17" t="e">
        <f>_xlfn.RANK.EQ(AM95,($C95,$G95,$K95,$O95,$S95,$W95,$AA95,$AE95,$AI95,$AM95),1)</f>
        <v>#N/A</v>
      </c>
      <c r="AO95" s="33" t="str">
        <f t="shared" si="19"/>
        <v/>
      </c>
      <c r="AP95" s="17"/>
    </row>
    <row r="96" spans="1:42" x14ac:dyDescent="0.3">
      <c r="A96" s="77">
        <v>29</v>
      </c>
      <c r="B96" s="31" t="s">
        <v>61</v>
      </c>
      <c r="C96" s="33"/>
      <c r="D96" s="17" t="e">
        <f>_xlfn.RANK.EQ(C96,($C96,$G96,$K96,$O96,$S96,$W96,$AB96,$AF96,$AJ96,$AN96),1)</f>
        <v>#N/A</v>
      </c>
      <c r="E96" s="33" t="str">
        <f t="shared" si="12"/>
        <v/>
      </c>
      <c r="F96" s="17"/>
      <c r="G96" s="17"/>
      <c r="H96" s="17" t="e">
        <f>_xlfn.RANK.EQ(G96,($C96,$G96,$K96,$O96,$S96,$W96,$AA96,$AE96,$AI96,$AM96),1)</f>
        <v>#N/A</v>
      </c>
      <c r="I96" s="33" t="str">
        <f t="shared" si="14"/>
        <v/>
      </c>
      <c r="J96" s="17"/>
      <c r="K96" s="17"/>
      <c r="L96" s="17" t="e">
        <f>_xlfn.RANK.EQ(K96,($C96,$G96,$K96,$O96,$S96,$W96,$AA96,$AE96,$AI96,$AM96),1)</f>
        <v>#N/A</v>
      </c>
      <c r="M96" s="33" t="str">
        <f t="shared" si="15"/>
        <v/>
      </c>
      <c r="N96" s="17"/>
      <c r="O96" s="17"/>
      <c r="P96" s="17" t="e">
        <f>_xlfn.RANK.EQ(O96,($C96,$G96,$K96,$O96,$S96,$W96,$AA96,$AE96,$AI96,$AM96),1)</f>
        <v>#N/A</v>
      </c>
      <c r="Q96" s="33" t="str">
        <f t="shared" si="16"/>
        <v/>
      </c>
      <c r="R96" s="17"/>
      <c r="S96" s="17"/>
      <c r="T96" s="17" t="e">
        <f>_xlfn.RANK.EQ(S96,($C96,$G96,$K96,$O96,$S96,$W96,$AA96,$AE96,$AI96,$AM96),0)</f>
        <v>#N/A</v>
      </c>
      <c r="U96" s="33" t="str">
        <f t="shared" si="10"/>
        <v/>
      </c>
      <c r="V96" s="17"/>
      <c r="W96" s="17"/>
      <c r="X96" s="17" t="e">
        <f>_xlfn.RANK.EQ(W96,($C96,$G96,$K96,$O96,$S96,$W96,$AA96,$AE96,$AI96,$AM96),1)</f>
        <v>#N/A</v>
      </c>
      <c r="Y96" s="33" t="str">
        <f t="shared" si="13"/>
        <v/>
      </c>
      <c r="Z96" s="17"/>
      <c r="AA96" s="17"/>
      <c r="AB96" s="17" t="e">
        <f>_xlfn.RANK.EQ(AA96,($C96,$G96,$K96,$O96,$S96,$W96,$AA96,$AE96,$AI96,$AM96),1)</f>
        <v>#N/A</v>
      </c>
      <c r="AC96" s="33" t="str">
        <f t="shared" si="17"/>
        <v/>
      </c>
      <c r="AD96" s="17"/>
      <c r="AE96" s="17"/>
      <c r="AF96" s="17" t="e">
        <f>_xlfn.RANK.EQ(AE96,($C96,$G96,$K96,$O96,$S96,$W96,$AA96,$AE96,$AI96,$AM96),1)</f>
        <v>#N/A</v>
      </c>
      <c r="AG96" s="33" t="str">
        <f t="shared" si="18"/>
        <v/>
      </c>
      <c r="AH96" s="17"/>
      <c r="AI96" s="17"/>
      <c r="AJ96" s="17" t="e">
        <f>_xlfn.RANK.EQ(AI96,($C96,$G96,$K96,$O96,$S96,$W96,$AA96,$AE96,$AI96,$AM96),1)</f>
        <v>#N/A</v>
      </c>
      <c r="AK96" s="33" t="str">
        <f t="shared" si="11"/>
        <v/>
      </c>
      <c r="AL96" s="17"/>
      <c r="AM96" s="17"/>
      <c r="AN96" s="17" t="e">
        <f>_xlfn.RANK.EQ(AM96,($C96,$G96,$K96,$O96,$S96,$W96,$AA96,$AE96,$AI96,$AM96),1)</f>
        <v>#N/A</v>
      </c>
      <c r="AO96" s="33" t="str">
        <f t="shared" si="19"/>
        <v/>
      </c>
      <c r="AP96" s="17"/>
    </row>
    <row r="97" spans="1:42" x14ac:dyDescent="0.3">
      <c r="A97" s="77"/>
      <c r="B97" s="31" t="s">
        <v>62</v>
      </c>
      <c r="C97" s="33"/>
      <c r="D97" s="17" t="e">
        <f>_xlfn.RANK.EQ(C97,($C97,$G97,$K97,$O97,$S97,$W97,$AB97,$AF97,$AJ97,$AN97),1)</f>
        <v>#N/A</v>
      </c>
      <c r="E97" s="33" t="str">
        <f t="shared" si="12"/>
        <v/>
      </c>
      <c r="F97" s="17"/>
      <c r="G97" s="17"/>
      <c r="H97" s="17" t="e">
        <f>_xlfn.RANK.EQ(G97,($C97,$G97,$K97,$O97,$S97,$W97,$AA97,$AE97,$AI97,$AM97),1)</f>
        <v>#N/A</v>
      </c>
      <c r="I97" s="33" t="str">
        <f t="shared" si="14"/>
        <v/>
      </c>
      <c r="J97" s="17"/>
      <c r="K97" s="17"/>
      <c r="L97" s="17" t="e">
        <f>_xlfn.RANK.EQ(K97,($C97,$G97,$K97,$O97,$S97,$W97,$AA97,$AE97,$AI97,$AM97),1)</f>
        <v>#N/A</v>
      </c>
      <c r="M97" s="33" t="str">
        <f t="shared" si="15"/>
        <v/>
      </c>
      <c r="N97" s="17"/>
      <c r="O97" s="17"/>
      <c r="P97" s="17" t="e">
        <f>_xlfn.RANK.EQ(O97,($C97,$G97,$K97,$O97,$S97,$W97,$AA97,$AE97,$AI97,$AM97),1)</f>
        <v>#N/A</v>
      </c>
      <c r="Q97" s="33" t="str">
        <f t="shared" si="16"/>
        <v/>
      </c>
      <c r="R97" s="17"/>
      <c r="S97" s="17"/>
      <c r="T97" s="17" t="e">
        <f>_xlfn.RANK.EQ(S97,($C97,$G97,$K97,$O97,$S97,$W97,$AA97,$AE97,$AI97,$AM97),0)</f>
        <v>#N/A</v>
      </c>
      <c r="U97" s="33" t="str">
        <f t="shared" si="10"/>
        <v/>
      </c>
      <c r="V97" s="17"/>
      <c r="W97" s="17"/>
      <c r="X97" s="17" t="e">
        <f>_xlfn.RANK.EQ(W97,($C97,$G97,$K97,$O97,$S97,$W97,$AA97,$AE97,$AI97,$AM97),1)</f>
        <v>#N/A</v>
      </c>
      <c r="Y97" s="33" t="str">
        <f t="shared" si="13"/>
        <v/>
      </c>
      <c r="Z97" s="17"/>
      <c r="AA97" s="17"/>
      <c r="AB97" s="17" t="e">
        <f>_xlfn.RANK.EQ(AA97,($C97,$G97,$K97,$O97,$S97,$W97,$AA97,$AE97,$AI97,$AM97),1)</f>
        <v>#N/A</v>
      </c>
      <c r="AC97" s="33" t="str">
        <f t="shared" si="17"/>
        <v/>
      </c>
      <c r="AD97" s="17"/>
      <c r="AE97" s="17"/>
      <c r="AF97" s="17" t="e">
        <f>_xlfn.RANK.EQ(AE97,($C97,$G97,$K97,$O97,$S97,$W97,$AA97,$AE97,$AI97,$AM97),1)</f>
        <v>#N/A</v>
      </c>
      <c r="AG97" s="33" t="str">
        <f t="shared" si="18"/>
        <v/>
      </c>
      <c r="AH97" s="17"/>
      <c r="AI97" s="17"/>
      <c r="AJ97" s="17" t="e">
        <f>_xlfn.RANK.EQ(AI97,($C97,$G97,$K97,$O97,$S97,$W97,$AA97,$AE97,$AI97,$AM97),1)</f>
        <v>#N/A</v>
      </c>
      <c r="AK97" s="33" t="str">
        <f t="shared" si="11"/>
        <v/>
      </c>
      <c r="AL97" s="17"/>
      <c r="AM97" s="17"/>
      <c r="AN97" s="17" t="e">
        <f>_xlfn.RANK.EQ(AM97,($C97,$G97,$K97,$O97,$S97,$W97,$AA97,$AE97,$AI97,$AM97),1)</f>
        <v>#N/A</v>
      </c>
      <c r="AO97" s="33" t="str">
        <f t="shared" si="19"/>
        <v/>
      </c>
      <c r="AP97" s="17"/>
    </row>
    <row r="98" spans="1:42" x14ac:dyDescent="0.3">
      <c r="A98" s="77"/>
      <c r="B98" s="31" t="s">
        <v>63</v>
      </c>
      <c r="C98" s="33"/>
      <c r="D98" s="17" t="e">
        <f>_xlfn.RANK.EQ(C98,($C98,$G98,$K98,$O98,$S98,$W98,$AB98,$AF98,$AJ98,$AN98),1)</f>
        <v>#N/A</v>
      </c>
      <c r="E98" s="33" t="str">
        <f t="shared" si="12"/>
        <v/>
      </c>
      <c r="F98" s="17"/>
      <c r="G98" s="17"/>
      <c r="H98" s="17" t="e">
        <f>_xlfn.RANK.EQ(G98,($C98,$G98,$K98,$O98,$S98,$W98,$AA98,$AE98,$AI98,$AM98),1)</f>
        <v>#N/A</v>
      </c>
      <c r="I98" s="33" t="str">
        <f t="shared" si="14"/>
        <v/>
      </c>
      <c r="J98" s="17"/>
      <c r="K98" s="17"/>
      <c r="L98" s="17" t="e">
        <f>_xlfn.RANK.EQ(K98,($C98,$G98,$K98,$O98,$S98,$W98,$AA98,$AE98,$AI98,$AM98),1)</f>
        <v>#N/A</v>
      </c>
      <c r="M98" s="33" t="str">
        <f t="shared" si="15"/>
        <v/>
      </c>
      <c r="N98" s="17"/>
      <c r="O98" s="17"/>
      <c r="P98" s="17" t="e">
        <f>_xlfn.RANK.EQ(O98,($C98,$G98,$K98,$O98,$S98,$W98,$AA98,$AE98,$AI98,$AM98),1)</f>
        <v>#N/A</v>
      </c>
      <c r="Q98" s="33" t="str">
        <f t="shared" si="16"/>
        <v/>
      </c>
      <c r="R98" s="17"/>
      <c r="S98" s="17"/>
      <c r="T98" s="17" t="e">
        <f>_xlfn.RANK.EQ(S98,($C98,$G98,$K98,$O98,$S98,$W98,$AA98,$AE98,$AI98,$AM98),0)</f>
        <v>#N/A</v>
      </c>
      <c r="U98" s="33" t="str">
        <f t="shared" si="10"/>
        <v/>
      </c>
      <c r="V98" s="17"/>
      <c r="W98" s="17"/>
      <c r="X98" s="17" t="e">
        <f>_xlfn.RANK.EQ(W98,($C98,$G98,$K98,$O98,$S98,$W98,$AA98,$AE98,$AI98,$AM98),1)</f>
        <v>#N/A</v>
      </c>
      <c r="Y98" s="33" t="str">
        <f t="shared" si="13"/>
        <v/>
      </c>
      <c r="Z98" s="17"/>
      <c r="AA98" s="17"/>
      <c r="AB98" s="17" t="e">
        <f>_xlfn.RANK.EQ(AA98,($C98,$G98,$K98,$O98,$S98,$W98,$AA98,$AE98,$AI98,$AM98),1)</f>
        <v>#N/A</v>
      </c>
      <c r="AC98" s="33" t="str">
        <f t="shared" si="17"/>
        <v/>
      </c>
      <c r="AD98" s="17"/>
      <c r="AE98" s="17"/>
      <c r="AF98" s="17" t="e">
        <f>_xlfn.RANK.EQ(AE98,($C98,$G98,$K98,$O98,$S98,$W98,$AA98,$AE98,$AI98,$AM98),1)</f>
        <v>#N/A</v>
      </c>
      <c r="AG98" s="33" t="str">
        <f t="shared" si="18"/>
        <v/>
      </c>
      <c r="AH98" s="17"/>
      <c r="AI98" s="17"/>
      <c r="AJ98" s="17" t="e">
        <f>_xlfn.RANK.EQ(AI98,($C98,$G98,$K98,$O98,$S98,$W98,$AA98,$AE98,$AI98,$AM98),1)</f>
        <v>#N/A</v>
      </c>
      <c r="AK98" s="33" t="str">
        <f t="shared" si="11"/>
        <v/>
      </c>
      <c r="AL98" s="17"/>
      <c r="AM98" s="17"/>
      <c r="AN98" s="17" t="e">
        <f>_xlfn.RANK.EQ(AM98,($C98,$G98,$K98,$O98,$S98,$W98,$AA98,$AE98,$AI98,$AM98),1)</f>
        <v>#N/A</v>
      </c>
      <c r="AO98" s="33" t="str">
        <f t="shared" si="19"/>
        <v/>
      </c>
      <c r="AP98" s="17"/>
    </row>
    <row r="99" spans="1:42" x14ac:dyDescent="0.3">
      <c r="A99" s="77">
        <v>30</v>
      </c>
      <c r="B99" s="31" t="s">
        <v>61</v>
      </c>
      <c r="C99" s="33"/>
      <c r="D99" s="17" t="e">
        <f>_xlfn.RANK.EQ(C99,($C99,$G99,$K99,$O99,$S99,$W99,$AB99,$AF99,$AJ99,$AN99),1)</f>
        <v>#N/A</v>
      </c>
      <c r="E99" s="33" t="str">
        <f t="shared" si="12"/>
        <v/>
      </c>
      <c r="F99" s="17"/>
      <c r="G99" s="17"/>
      <c r="H99" s="17" t="e">
        <f>_xlfn.RANK.EQ(G99,($C99,$G99,$K99,$O99,$S99,$W99,$AA99,$AE99,$AI99,$AM99),1)</f>
        <v>#N/A</v>
      </c>
      <c r="I99" s="33" t="str">
        <f t="shared" si="14"/>
        <v/>
      </c>
      <c r="J99" s="17"/>
      <c r="K99" s="17"/>
      <c r="L99" s="17" t="e">
        <f>_xlfn.RANK.EQ(K99,($C99,$G99,$K99,$O99,$S99,$W99,$AA99,$AE99,$AI99,$AM99),1)</f>
        <v>#N/A</v>
      </c>
      <c r="M99" s="33" t="str">
        <f t="shared" si="15"/>
        <v/>
      </c>
      <c r="N99" s="17"/>
      <c r="O99" s="17"/>
      <c r="P99" s="17" t="e">
        <f>_xlfn.RANK.EQ(O99,($C99,$G99,$K99,$O99,$S99,$W99,$AA99,$AE99,$AI99,$AM99),1)</f>
        <v>#N/A</v>
      </c>
      <c r="Q99" s="33" t="str">
        <f t="shared" si="16"/>
        <v/>
      </c>
      <c r="R99" s="17"/>
      <c r="S99" s="17"/>
      <c r="T99" s="17" t="e">
        <f>_xlfn.RANK.EQ(S99,($C99,$G99,$K99,$O99,$S99,$W99,$AA99,$AE99,$AI99,$AM99),0)</f>
        <v>#N/A</v>
      </c>
      <c r="U99" s="33" t="str">
        <f t="shared" si="10"/>
        <v/>
      </c>
      <c r="V99" s="17"/>
      <c r="W99" s="17"/>
      <c r="X99" s="17" t="e">
        <f>_xlfn.RANK.EQ(W99,($C99,$G99,$K99,$O99,$S99,$W99,$AA99,$AE99,$AI99,$AM99),1)</f>
        <v>#N/A</v>
      </c>
      <c r="Y99" s="33" t="str">
        <f t="shared" si="13"/>
        <v/>
      </c>
      <c r="Z99" s="17"/>
      <c r="AA99" s="17"/>
      <c r="AB99" s="17" t="e">
        <f>_xlfn.RANK.EQ(AA99,($C99,$G99,$K99,$O99,$S99,$W99,$AA99,$AE99,$AI99,$AM99),1)</f>
        <v>#N/A</v>
      </c>
      <c r="AC99" s="33" t="str">
        <f t="shared" si="17"/>
        <v/>
      </c>
      <c r="AD99" s="17"/>
      <c r="AE99" s="17"/>
      <c r="AF99" s="17" t="e">
        <f>_xlfn.RANK.EQ(AE99,($C99,$G99,$K99,$O99,$S99,$W99,$AA99,$AE99,$AI99,$AM99),1)</f>
        <v>#N/A</v>
      </c>
      <c r="AG99" s="33" t="str">
        <f t="shared" si="18"/>
        <v/>
      </c>
      <c r="AH99" s="17"/>
      <c r="AI99" s="17"/>
      <c r="AJ99" s="17" t="e">
        <f>_xlfn.RANK.EQ(AI99,($C99,$G99,$K99,$O99,$S99,$W99,$AA99,$AE99,$AI99,$AM99),1)</f>
        <v>#N/A</v>
      </c>
      <c r="AK99" s="33" t="str">
        <f t="shared" si="11"/>
        <v/>
      </c>
      <c r="AL99" s="17"/>
      <c r="AM99" s="17"/>
      <c r="AN99" s="17" t="e">
        <f>_xlfn.RANK.EQ(AM99,($C99,$G99,$K99,$O99,$S99,$W99,$AA99,$AE99,$AI99,$AM99),1)</f>
        <v>#N/A</v>
      </c>
      <c r="AO99" s="33" t="str">
        <f t="shared" si="19"/>
        <v/>
      </c>
      <c r="AP99" s="17"/>
    </row>
    <row r="100" spans="1:42" x14ac:dyDescent="0.3">
      <c r="A100" s="77"/>
      <c r="B100" s="31" t="s">
        <v>62</v>
      </c>
      <c r="C100" s="33"/>
      <c r="D100" s="17" t="e">
        <f>_xlfn.RANK.EQ(C100,($C100,$G100,$K100,$O100,$S100,$W100,$AB100,$AF100,$AJ100,$AN100),1)</f>
        <v>#N/A</v>
      </c>
      <c r="E100" s="33" t="str">
        <f t="shared" si="12"/>
        <v/>
      </c>
      <c r="F100" s="17"/>
      <c r="G100" s="17"/>
      <c r="H100" s="17" t="e">
        <f>_xlfn.RANK.EQ(G100,($C100,$G100,$K100,$O100,$S100,$W100,$AA100,$AE100,$AI100,$AM100),1)</f>
        <v>#N/A</v>
      </c>
      <c r="I100" s="33" t="str">
        <f t="shared" si="14"/>
        <v/>
      </c>
      <c r="J100" s="17"/>
      <c r="K100" s="17"/>
      <c r="L100" s="17" t="e">
        <f>_xlfn.RANK.EQ(K100,($C100,$G100,$K100,$O100,$S100,$W100,$AA100,$AE100,$AI100,$AM100),1)</f>
        <v>#N/A</v>
      </c>
      <c r="M100" s="33" t="str">
        <f t="shared" si="15"/>
        <v/>
      </c>
      <c r="N100" s="17"/>
      <c r="O100" s="17"/>
      <c r="P100" s="17" t="e">
        <f>_xlfn.RANK.EQ(O100,($C100,$G100,$K100,$O100,$S100,$W100,$AA100,$AE100,$AI100,$AM100),1)</f>
        <v>#N/A</v>
      </c>
      <c r="Q100" s="33" t="str">
        <f t="shared" si="16"/>
        <v/>
      </c>
      <c r="R100" s="17"/>
      <c r="S100" s="17"/>
      <c r="T100" s="17" t="e">
        <f>_xlfn.RANK.EQ(S100,($C100,$G100,$K100,$O100,$S100,$W100,$AA100,$AE100,$AI100,$AM100),0)</f>
        <v>#N/A</v>
      </c>
      <c r="U100" s="33" t="str">
        <f t="shared" si="10"/>
        <v/>
      </c>
      <c r="V100" s="17"/>
      <c r="W100" s="17"/>
      <c r="X100" s="17" t="e">
        <f>_xlfn.RANK.EQ(W100,($C100,$G100,$K100,$O100,$S100,$W100,$AA100,$AE100,$AI100,$AM100),1)</f>
        <v>#N/A</v>
      </c>
      <c r="Y100" s="33" t="str">
        <f t="shared" si="13"/>
        <v/>
      </c>
      <c r="Z100" s="17"/>
      <c r="AA100" s="17"/>
      <c r="AB100" s="17" t="e">
        <f>_xlfn.RANK.EQ(AA100,($C100,$G100,$K100,$O100,$S100,$W100,$AA100,$AE100,$AI100,$AM100),1)</f>
        <v>#N/A</v>
      </c>
      <c r="AC100" s="33" t="str">
        <f t="shared" si="17"/>
        <v/>
      </c>
      <c r="AD100" s="17"/>
      <c r="AE100" s="17"/>
      <c r="AF100" s="17" t="e">
        <f>_xlfn.RANK.EQ(AE100,($C100,$G100,$K100,$O100,$S100,$W100,$AA100,$AE100,$AI100,$AM100),1)</f>
        <v>#N/A</v>
      </c>
      <c r="AG100" s="33" t="str">
        <f t="shared" si="18"/>
        <v/>
      </c>
      <c r="AH100" s="17"/>
      <c r="AI100" s="17"/>
      <c r="AJ100" s="17" t="e">
        <f>_xlfn.RANK.EQ(AI100,($C100,$G100,$K100,$O100,$S100,$W100,$AA100,$AE100,$AI100,$AM100),1)</f>
        <v>#N/A</v>
      </c>
      <c r="AK100" s="33" t="str">
        <f t="shared" si="11"/>
        <v/>
      </c>
      <c r="AL100" s="17"/>
      <c r="AM100" s="17"/>
      <c r="AN100" s="17" t="e">
        <f>_xlfn.RANK.EQ(AM100,($C100,$G100,$K100,$O100,$S100,$W100,$AA100,$AE100,$AI100,$AM100),1)</f>
        <v>#N/A</v>
      </c>
      <c r="AO100" s="33" t="str">
        <f t="shared" si="19"/>
        <v/>
      </c>
      <c r="AP100" s="17"/>
    </row>
    <row r="101" spans="1:42" x14ac:dyDescent="0.3">
      <c r="A101" s="77"/>
      <c r="B101" s="31" t="s">
        <v>63</v>
      </c>
      <c r="C101" s="33"/>
      <c r="D101" s="17" t="e">
        <f>_xlfn.RANK.EQ(C101,($C101,$G101,$K101,$O101,$S101,$W101,$AB101,$AF101,$AJ101,$AN101),1)</f>
        <v>#N/A</v>
      </c>
      <c r="E101" s="33" t="str">
        <f t="shared" si="12"/>
        <v/>
      </c>
      <c r="F101" s="17"/>
      <c r="G101" s="17"/>
      <c r="H101" s="17" t="e">
        <f>_xlfn.RANK.EQ(G101,($C101,$G101,$K101,$O101,$S101,$W101,$AA101,$AE101,$AI101,$AM101),1)</f>
        <v>#N/A</v>
      </c>
      <c r="I101" s="33" t="str">
        <f t="shared" si="14"/>
        <v/>
      </c>
      <c r="J101" s="17"/>
      <c r="K101" s="17"/>
      <c r="L101" s="17" t="e">
        <f>_xlfn.RANK.EQ(K101,($C101,$G101,$K101,$O101,$S101,$W101,$AA101,$AE101,$AI101,$AM101),1)</f>
        <v>#N/A</v>
      </c>
      <c r="M101" s="33" t="str">
        <f t="shared" si="15"/>
        <v/>
      </c>
      <c r="N101" s="17"/>
      <c r="O101" s="17"/>
      <c r="P101" s="17" t="e">
        <f>_xlfn.RANK.EQ(O101,($C101,$G101,$K101,$O101,$S101,$W101,$AA101,$AE101,$AI101,$AM101),1)</f>
        <v>#N/A</v>
      </c>
      <c r="Q101" s="33" t="str">
        <f t="shared" si="16"/>
        <v/>
      </c>
      <c r="R101" s="17"/>
      <c r="S101" s="17"/>
      <c r="T101" s="17" t="e">
        <f>_xlfn.RANK.EQ(S101,($C101,$G101,$K101,$O101,$S101,$W101,$AA101,$AE101,$AI101,$AM101),0)</f>
        <v>#N/A</v>
      </c>
      <c r="U101" s="33" t="str">
        <f t="shared" si="10"/>
        <v/>
      </c>
      <c r="V101" s="17"/>
      <c r="W101" s="17"/>
      <c r="X101" s="17" t="e">
        <f>_xlfn.RANK.EQ(W101,($C101,$G101,$K101,$O101,$S101,$W101,$AA101,$AE101,$AI101,$AM101),1)</f>
        <v>#N/A</v>
      </c>
      <c r="Y101" s="33" t="str">
        <f t="shared" si="13"/>
        <v/>
      </c>
      <c r="Z101" s="17"/>
      <c r="AA101" s="17"/>
      <c r="AB101" s="17" t="e">
        <f>_xlfn.RANK.EQ(AA101,($C101,$G101,$K101,$O101,$S101,$W101,$AA101,$AE101,$AI101,$AM101),1)</f>
        <v>#N/A</v>
      </c>
      <c r="AC101" s="33" t="str">
        <f t="shared" si="17"/>
        <v/>
      </c>
      <c r="AD101" s="17"/>
      <c r="AE101" s="17"/>
      <c r="AF101" s="17" t="e">
        <f>_xlfn.RANK.EQ(AE101,($C101,$G101,$K101,$O101,$S101,$W101,$AA101,$AE101,$AI101,$AM101),1)</f>
        <v>#N/A</v>
      </c>
      <c r="AG101" s="33" t="str">
        <f t="shared" si="18"/>
        <v/>
      </c>
      <c r="AH101" s="17"/>
      <c r="AI101" s="17"/>
      <c r="AJ101" s="17" t="e">
        <f>_xlfn.RANK.EQ(AI101,($C101,$G101,$K101,$O101,$S101,$W101,$AA101,$AE101,$AI101,$AM101),1)</f>
        <v>#N/A</v>
      </c>
      <c r="AK101" s="33" t="str">
        <f t="shared" si="11"/>
        <v/>
      </c>
      <c r="AL101" s="17"/>
      <c r="AM101" s="17"/>
      <c r="AN101" s="17" t="e">
        <f>_xlfn.RANK.EQ(AM101,($C101,$G101,$K101,$O101,$S101,$W101,$AA101,$AE101,$AI101,$AM101),1)</f>
        <v>#N/A</v>
      </c>
      <c r="AO101" s="33" t="str">
        <f t="shared" si="19"/>
        <v/>
      </c>
      <c r="AP101" s="17"/>
    </row>
    <row r="102" spans="1:42" x14ac:dyDescent="0.3">
      <c r="A102" s="77">
        <v>31</v>
      </c>
      <c r="B102" s="31" t="s">
        <v>61</v>
      </c>
      <c r="C102" s="33"/>
      <c r="D102" s="17" t="e">
        <f>_xlfn.RANK.EQ(C102,($C102,$G102,$K102,$O102,$S102,$W102,$AB102,$AF102,$AJ102,$AN102),1)</f>
        <v>#N/A</v>
      </c>
      <c r="E102" s="33" t="str">
        <f t="shared" si="12"/>
        <v/>
      </c>
      <c r="F102" s="17"/>
      <c r="G102" s="17"/>
      <c r="H102" s="17" t="e">
        <f>_xlfn.RANK.EQ(G102,($C102,$G102,$K102,$O102,$S102,$W102,$AA102,$AE102,$AI102,$AM102),1)</f>
        <v>#N/A</v>
      </c>
      <c r="I102" s="33" t="str">
        <f t="shared" si="14"/>
        <v/>
      </c>
      <c r="J102" s="17"/>
      <c r="K102" s="17"/>
      <c r="L102" s="17" t="e">
        <f>_xlfn.RANK.EQ(K102,($C102,$G102,$K102,$O102,$S102,$W102,$AA102,$AE102,$AI102,$AM102),1)</f>
        <v>#N/A</v>
      </c>
      <c r="M102" s="33" t="str">
        <f t="shared" si="15"/>
        <v/>
      </c>
      <c r="N102" s="17"/>
      <c r="O102" s="17"/>
      <c r="P102" s="17" t="e">
        <f>_xlfn.RANK.EQ(O102,($C102,$G102,$K102,$O102,$S102,$W102,$AA102,$AE102,$AI102,$AM102),1)</f>
        <v>#N/A</v>
      </c>
      <c r="Q102" s="33" t="str">
        <f t="shared" si="16"/>
        <v/>
      </c>
      <c r="R102" s="17"/>
      <c r="S102" s="17"/>
      <c r="T102" s="17" t="e">
        <f>_xlfn.RANK.EQ(S102,($C102,$G102,$K102,$O102,$S102,$W102,$AA102,$AE102,$AI102,$AM102),0)</f>
        <v>#N/A</v>
      </c>
      <c r="U102" s="33" t="str">
        <f t="shared" si="10"/>
        <v/>
      </c>
      <c r="V102" s="17"/>
      <c r="W102" s="17"/>
      <c r="X102" s="17" t="e">
        <f>_xlfn.RANK.EQ(W102,($C102,$G102,$K102,$O102,$S102,$W102,$AA102,$AE102,$AI102,$AM102),1)</f>
        <v>#N/A</v>
      </c>
      <c r="Y102" s="33" t="str">
        <f t="shared" si="13"/>
        <v/>
      </c>
      <c r="Z102" s="17"/>
      <c r="AA102" s="17"/>
      <c r="AB102" s="17" t="e">
        <f>_xlfn.RANK.EQ(AA102,($C102,$G102,$K102,$O102,$S102,$W102,$AA102,$AE102,$AI102,$AM102),1)</f>
        <v>#N/A</v>
      </c>
      <c r="AC102" s="33" t="str">
        <f t="shared" si="17"/>
        <v/>
      </c>
      <c r="AD102" s="17"/>
      <c r="AE102" s="17"/>
      <c r="AF102" s="17" t="e">
        <f>_xlfn.RANK.EQ(AE102,($C102,$G102,$K102,$O102,$S102,$W102,$AA102,$AE102,$AI102,$AM102),1)</f>
        <v>#N/A</v>
      </c>
      <c r="AG102" s="33" t="str">
        <f t="shared" si="18"/>
        <v/>
      </c>
      <c r="AH102" s="17"/>
      <c r="AI102" s="17"/>
      <c r="AJ102" s="17" t="e">
        <f>_xlfn.RANK.EQ(AI102,($C102,$G102,$K102,$O102,$S102,$W102,$AA102,$AE102,$AI102,$AM102),1)</f>
        <v>#N/A</v>
      </c>
      <c r="AK102" s="33" t="str">
        <f t="shared" si="11"/>
        <v/>
      </c>
      <c r="AL102" s="17"/>
      <c r="AM102" s="17"/>
      <c r="AN102" s="17" t="e">
        <f>_xlfn.RANK.EQ(AM102,($C102,$G102,$K102,$O102,$S102,$W102,$AA102,$AE102,$AI102,$AM102),1)</f>
        <v>#N/A</v>
      </c>
      <c r="AO102" s="33" t="str">
        <f t="shared" si="19"/>
        <v/>
      </c>
      <c r="AP102" s="17"/>
    </row>
    <row r="103" spans="1:42" x14ac:dyDescent="0.3">
      <c r="A103" s="77"/>
      <c r="B103" s="31" t="s">
        <v>62</v>
      </c>
      <c r="C103" s="33"/>
      <c r="D103" s="17" t="e">
        <f>_xlfn.RANK.EQ(C103,($C103,$G103,$K103,$O103,$S103,$W103,$AB103,$AF103,$AJ103,$AN103),1)</f>
        <v>#N/A</v>
      </c>
      <c r="E103" s="33" t="str">
        <f t="shared" si="12"/>
        <v/>
      </c>
      <c r="F103" s="17"/>
      <c r="G103" s="17"/>
      <c r="H103" s="17" t="e">
        <f>_xlfn.RANK.EQ(G103,($C103,$G103,$K103,$O103,$S103,$W103,$AA103,$AE103,$AI103,$AM103),1)</f>
        <v>#N/A</v>
      </c>
      <c r="I103" s="33" t="str">
        <f t="shared" si="14"/>
        <v/>
      </c>
      <c r="J103" s="17"/>
      <c r="K103" s="17"/>
      <c r="L103" s="17" t="e">
        <f>_xlfn.RANK.EQ(K103,($C103,$G103,$K103,$O103,$S103,$W103,$AA103,$AE103,$AI103,$AM103),1)</f>
        <v>#N/A</v>
      </c>
      <c r="M103" s="33" t="str">
        <f t="shared" si="15"/>
        <v/>
      </c>
      <c r="N103" s="17"/>
      <c r="O103" s="17"/>
      <c r="P103" s="17" t="e">
        <f>_xlfn.RANK.EQ(O103,($C103,$G103,$K103,$O103,$S103,$W103,$AA103,$AE103,$AI103,$AM103),1)</f>
        <v>#N/A</v>
      </c>
      <c r="Q103" s="33" t="str">
        <f t="shared" si="16"/>
        <v/>
      </c>
      <c r="R103" s="17"/>
      <c r="S103" s="17"/>
      <c r="T103" s="17" t="e">
        <f>_xlfn.RANK.EQ(S103,($C103,$G103,$K103,$O103,$S103,$W103,$AA103,$AE103,$AI103,$AM103),0)</f>
        <v>#N/A</v>
      </c>
      <c r="U103" s="33" t="str">
        <f t="shared" si="10"/>
        <v/>
      </c>
      <c r="V103" s="17"/>
      <c r="W103" s="17"/>
      <c r="X103" s="17" t="e">
        <f>_xlfn.RANK.EQ(W103,($C103,$G103,$K103,$O103,$S103,$W103,$AA103,$AE103,$AI103,$AM103),1)</f>
        <v>#N/A</v>
      </c>
      <c r="Y103" s="33" t="str">
        <f t="shared" si="13"/>
        <v/>
      </c>
      <c r="Z103" s="17"/>
      <c r="AA103" s="17"/>
      <c r="AB103" s="17" t="e">
        <f>_xlfn.RANK.EQ(AA103,($C103,$G103,$K103,$O103,$S103,$W103,$AA103,$AE103,$AI103,$AM103),1)</f>
        <v>#N/A</v>
      </c>
      <c r="AC103" s="33" t="str">
        <f t="shared" si="17"/>
        <v/>
      </c>
      <c r="AD103" s="17"/>
      <c r="AE103" s="17"/>
      <c r="AF103" s="17" t="e">
        <f>_xlfn.RANK.EQ(AE103,($C103,$G103,$K103,$O103,$S103,$W103,$AA103,$AE103,$AI103,$AM103),1)</f>
        <v>#N/A</v>
      </c>
      <c r="AG103" s="33" t="str">
        <f t="shared" si="18"/>
        <v/>
      </c>
      <c r="AH103" s="17"/>
      <c r="AI103" s="17"/>
      <c r="AJ103" s="17" t="e">
        <f>_xlfn.RANK.EQ(AI103,($C103,$G103,$K103,$O103,$S103,$W103,$AA103,$AE103,$AI103,$AM103),1)</f>
        <v>#N/A</v>
      </c>
      <c r="AK103" s="33" t="str">
        <f t="shared" si="11"/>
        <v/>
      </c>
      <c r="AL103" s="17"/>
      <c r="AM103" s="17"/>
      <c r="AN103" s="17" t="e">
        <f>_xlfn.RANK.EQ(AM103,($C103,$G103,$K103,$O103,$S103,$W103,$AA103,$AE103,$AI103,$AM103),1)</f>
        <v>#N/A</v>
      </c>
      <c r="AO103" s="33" t="str">
        <f t="shared" si="19"/>
        <v/>
      </c>
      <c r="AP103" s="17"/>
    </row>
    <row r="104" spans="1:42" x14ac:dyDescent="0.3">
      <c r="A104" s="77"/>
      <c r="B104" s="31" t="s">
        <v>63</v>
      </c>
      <c r="C104" s="33"/>
      <c r="D104" s="17" t="e">
        <f>_xlfn.RANK.EQ(C104,($C104,$G104,$K104,$O104,$S104,$W104,$AB104,$AF104,$AJ104,$AN104),1)</f>
        <v>#N/A</v>
      </c>
      <c r="E104" s="33" t="str">
        <f t="shared" si="12"/>
        <v/>
      </c>
      <c r="F104" s="17"/>
      <c r="G104" s="17"/>
      <c r="H104" s="17" t="e">
        <f>_xlfn.RANK.EQ(G104,($C104,$G104,$K104,$O104,$S104,$W104,$AA104,$AE104,$AI104,$AM104),1)</f>
        <v>#N/A</v>
      </c>
      <c r="I104" s="33" t="str">
        <f t="shared" si="14"/>
        <v/>
      </c>
      <c r="J104" s="17"/>
      <c r="K104" s="17"/>
      <c r="L104" s="17" t="e">
        <f>_xlfn.RANK.EQ(K104,($C104,$G104,$K104,$O104,$S104,$W104,$AA104,$AE104,$AI104,$AM104),1)</f>
        <v>#N/A</v>
      </c>
      <c r="M104" s="33" t="str">
        <f t="shared" si="15"/>
        <v/>
      </c>
      <c r="N104" s="17"/>
      <c r="O104" s="17"/>
      <c r="P104" s="17" t="e">
        <f>_xlfn.RANK.EQ(O104,($C104,$G104,$K104,$O104,$S104,$W104,$AA104,$AE104,$AI104,$AM104),1)</f>
        <v>#N/A</v>
      </c>
      <c r="Q104" s="33" t="str">
        <f t="shared" si="16"/>
        <v/>
      </c>
      <c r="R104" s="17"/>
      <c r="S104" s="17"/>
      <c r="T104" s="17" t="e">
        <f>_xlfn.RANK.EQ(S104,($C104,$G104,$K104,$O104,$S104,$W104,$AA104,$AE104,$AI104,$AM104),0)</f>
        <v>#N/A</v>
      </c>
      <c r="U104" s="33" t="str">
        <f t="shared" si="10"/>
        <v/>
      </c>
      <c r="V104" s="17"/>
      <c r="W104" s="17"/>
      <c r="X104" s="17" t="e">
        <f>_xlfn.RANK.EQ(W104,($C104,$G104,$K104,$O104,$S104,$W104,$AA104,$AE104,$AI104,$AM104),1)</f>
        <v>#N/A</v>
      </c>
      <c r="Y104" s="33" t="str">
        <f t="shared" si="13"/>
        <v/>
      </c>
      <c r="Z104" s="17"/>
      <c r="AA104" s="17"/>
      <c r="AB104" s="17" t="e">
        <f>_xlfn.RANK.EQ(AA104,($C104,$G104,$K104,$O104,$S104,$W104,$AA104,$AE104,$AI104,$AM104),1)</f>
        <v>#N/A</v>
      </c>
      <c r="AC104" s="33" t="str">
        <f t="shared" si="17"/>
        <v/>
      </c>
      <c r="AD104" s="17"/>
      <c r="AE104" s="17"/>
      <c r="AF104" s="17" t="e">
        <f>_xlfn.RANK.EQ(AE104,($C104,$G104,$K104,$O104,$S104,$W104,$AA104,$AE104,$AI104,$AM104),1)</f>
        <v>#N/A</v>
      </c>
      <c r="AG104" s="33" t="str">
        <f t="shared" si="18"/>
        <v/>
      </c>
      <c r="AH104" s="17"/>
      <c r="AI104" s="17"/>
      <c r="AJ104" s="17" t="e">
        <f>_xlfn.RANK.EQ(AI104,($C104,$G104,$K104,$O104,$S104,$W104,$AA104,$AE104,$AI104,$AM104),1)</f>
        <v>#N/A</v>
      </c>
      <c r="AK104" s="33" t="str">
        <f t="shared" si="11"/>
        <v/>
      </c>
      <c r="AL104" s="17"/>
      <c r="AM104" s="17"/>
      <c r="AN104" s="17" t="e">
        <f>_xlfn.RANK.EQ(AM104,($C104,$G104,$K104,$O104,$S104,$W104,$AA104,$AE104,$AI104,$AM104),1)</f>
        <v>#N/A</v>
      </c>
      <c r="AO104" s="33" t="str">
        <f t="shared" si="19"/>
        <v/>
      </c>
      <c r="AP104" s="17"/>
    </row>
    <row r="105" spans="1:42" x14ac:dyDescent="0.3">
      <c r="A105" s="77">
        <v>32</v>
      </c>
      <c r="B105" s="18" t="s">
        <v>61</v>
      </c>
      <c r="C105" s="33"/>
      <c r="D105" s="17" t="e">
        <f>_xlfn.RANK.EQ(C105,($C105,$G105,$K105,$O105,$S105,$W105,$AB105,$AF105,$AJ105,$AN105),1)</f>
        <v>#N/A</v>
      </c>
      <c r="E105" s="33" t="str">
        <f t="shared" si="12"/>
        <v/>
      </c>
      <c r="F105" s="17"/>
      <c r="G105" s="17"/>
      <c r="H105" s="17" t="e">
        <f>_xlfn.RANK.EQ(G105,($C105,$G105,$K105,$O105,$S105,$W105,$AA105,$AE105,$AI105,$AM105),1)</f>
        <v>#N/A</v>
      </c>
      <c r="I105" s="33" t="str">
        <f t="shared" si="14"/>
        <v/>
      </c>
      <c r="J105" s="17"/>
      <c r="K105" s="17"/>
      <c r="L105" s="17" t="e">
        <f>_xlfn.RANK.EQ(K105,($C105,$G105,$K105,$O105,$S105,$W105,$AA105,$AE105,$AI105,$AM105),1)</f>
        <v>#N/A</v>
      </c>
      <c r="M105" s="33" t="str">
        <f t="shared" si="15"/>
        <v/>
      </c>
      <c r="N105" s="17"/>
      <c r="O105" s="17"/>
      <c r="P105" s="17" t="e">
        <f>_xlfn.RANK.EQ(O105,($C105,$G105,$K105,$O105,$S105,$W105,$AA105,$AE105,$AI105,$AM105),1)</f>
        <v>#N/A</v>
      </c>
      <c r="Q105" s="33" t="str">
        <f t="shared" si="16"/>
        <v/>
      </c>
      <c r="R105" s="17"/>
      <c r="S105" s="17"/>
      <c r="T105" s="17" t="e">
        <f>_xlfn.RANK.EQ(S105,($C105,$G105,$K105,$O105,$S105,$W105,$AA105,$AE105,$AI105,$AM105),0)</f>
        <v>#N/A</v>
      </c>
      <c r="U105" s="33" t="str">
        <f t="shared" si="10"/>
        <v/>
      </c>
      <c r="V105" s="17"/>
      <c r="W105" s="17"/>
      <c r="X105" s="17" t="e">
        <f>_xlfn.RANK.EQ(W105,($C105,$G105,$K105,$O105,$S105,$W105,$AA105,$AE105,$AI105,$AM105),1)</f>
        <v>#N/A</v>
      </c>
      <c r="Y105" s="33" t="str">
        <f t="shared" si="13"/>
        <v/>
      </c>
      <c r="Z105" s="17"/>
      <c r="AA105" s="17"/>
      <c r="AB105" s="17" t="e">
        <f>_xlfn.RANK.EQ(AA105,($C105,$G105,$K105,$O105,$S105,$W105,$AA105,$AE105,$AI105,$AM105),1)</f>
        <v>#N/A</v>
      </c>
      <c r="AC105" s="33" t="str">
        <f t="shared" si="17"/>
        <v/>
      </c>
      <c r="AD105" s="17"/>
      <c r="AE105" s="17"/>
      <c r="AF105" s="17" t="e">
        <f>_xlfn.RANK.EQ(AE105,($C105,$G105,$K105,$O105,$S105,$W105,$AA105,$AE105,$AI105,$AM105),1)</f>
        <v>#N/A</v>
      </c>
      <c r="AG105" s="33" t="str">
        <f t="shared" si="18"/>
        <v/>
      </c>
      <c r="AH105" s="17"/>
      <c r="AI105" s="17"/>
      <c r="AJ105" s="17" t="e">
        <f>_xlfn.RANK.EQ(AI105,($C105,$G105,$K105,$O105,$S105,$W105,$AA105,$AE105,$AI105,$AM105),1)</f>
        <v>#N/A</v>
      </c>
      <c r="AK105" s="33" t="str">
        <f t="shared" si="11"/>
        <v/>
      </c>
      <c r="AL105" s="17"/>
      <c r="AM105" s="17"/>
      <c r="AN105" s="17" t="e">
        <f>_xlfn.RANK.EQ(AM105,($C105,$G105,$K105,$O105,$S105,$W105,$AA105,$AE105,$AI105,$AM105),1)</f>
        <v>#N/A</v>
      </c>
      <c r="AO105" s="33" t="str">
        <f t="shared" si="19"/>
        <v/>
      </c>
      <c r="AP105" s="17"/>
    </row>
    <row r="106" spans="1:42" x14ac:dyDescent="0.3">
      <c r="A106" s="77"/>
      <c r="B106" s="18" t="s">
        <v>62</v>
      </c>
      <c r="C106" s="33"/>
      <c r="D106" s="17" t="e">
        <f>_xlfn.RANK.EQ(C106,($C106,$G106,$K106,$O106,$S106,$W106,$AB106,$AF106,$AJ106,$AN106),1)</f>
        <v>#N/A</v>
      </c>
      <c r="E106" s="33" t="str">
        <f t="shared" si="12"/>
        <v/>
      </c>
      <c r="F106" s="17"/>
      <c r="G106" s="17"/>
      <c r="H106" s="17" t="e">
        <f>_xlfn.RANK.EQ(G106,($C106,$G106,$K106,$O106,$S106,$W106,$AA106,$AE106,$AI106,$AM106),1)</f>
        <v>#N/A</v>
      </c>
      <c r="I106" s="33" t="str">
        <f t="shared" si="14"/>
        <v/>
      </c>
      <c r="J106" s="17"/>
      <c r="K106" s="17"/>
      <c r="L106" s="17" t="e">
        <f>_xlfn.RANK.EQ(K106,($C106,$G106,$K106,$O106,$S106,$W106,$AA106,$AE106,$AI106,$AM106),1)</f>
        <v>#N/A</v>
      </c>
      <c r="M106" s="33" t="str">
        <f t="shared" si="15"/>
        <v/>
      </c>
      <c r="N106" s="17"/>
      <c r="O106" s="17"/>
      <c r="P106" s="17" t="e">
        <f>_xlfn.RANK.EQ(O106,($C106,$G106,$K106,$O106,$S106,$W106,$AA106,$AE106,$AI106,$AM106),1)</f>
        <v>#N/A</v>
      </c>
      <c r="Q106" s="33" t="str">
        <f t="shared" si="16"/>
        <v/>
      </c>
      <c r="R106" s="17"/>
      <c r="S106" s="17"/>
      <c r="T106" s="17" t="e">
        <f>_xlfn.RANK.EQ(S106,($C106,$G106,$K106,$O106,$S106,$W106,$AA106,$AE106,$AI106,$AM106),0)</f>
        <v>#N/A</v>
      </c>
      <c r="U106" s="33" t="str">
        <f t="shared" si="10"/>
        <v/>
      </c>
      <c r="V106" s="17"/>
      <c r="W106" s="17"/>
      <c r="X106" s="17" t="e">
        <f>_xlfn.RANK.EQ(W106,($C106,$G106,$K106,$O106,$S106,$W106,$AA106,$AE106,$AI106,$AM106),1)</f>
        <v>#N/A</v>
      </c>
      <c r="Y106" s="33" t="str">
        <f t="shared" si="13"/>
        <v/>
      </c>
      <c r="Z106" s="17"/>
      <c r="AA106" s="17"/>
      <c r="AB106" s="17" t="e">
        <f>_xlfn.RANK.EQ(AA106,($C106,$G106,$K106,$O106,$S106,$W106,$AA106,$AE106,$AI106,$AM106),1)</f>
        <v>#N/A</v>
      </c>
      <c r="AC106" s="33" t="str">
        <f t="shared" si="17"/>
        <v/>
      </c>
      <c r="AD106" s="17"/>
      <c r="AE106" s="17"/>
      <c r="AF106" s="17" t="e">
        <f>_xlfn.RANK.EQ(AE106,($C106,$G106,$K106,$O106,$S106,$W106,$AA106,$AE106,$AI106,$AM106),1)</f>
        <v>#N/A</v>
      </c>
      <c r="AG106" s="33" t="str">
        <f t="shared" si="18"/>
        <v/>
      </c>
      <c r="AH106" s="17"/>
      <c r="AI106" s="17"/>
      <c r="AJ106" s="17" t="e">
        <f>_xlfn.RANK.EQ(AI106,($C106,$G106,$K106,$O106,$S106,$W106,$AA106,$AE106,$AI106,$AM106),1)</f>
        <v>#N/A</v>
      </c>
      <c r="AK106" s="33" t="str">
        <f t="shared" si="11"/>
        <v/>
      </c>
      <c r="AL106" s="17"/>
      <c r="AM106" s="17"/>
      <c r="AN106" s="17" t="e">
        <f>_xlfn.RANK.EQ(AM106,($C106,$G106,$K106,$O106,$S106,$W106,$AA106,$AE106,$AI106,$AM106),1)</f>
        <v>#N/A</v>
      </c>
      <c r="AO106" s="33" t="str">
        <f t="shared" si="19"/>
        <v/>
      </c>
      <c r="AP106" s="17"/>
    </row>
    <row r="107" spans="1:42" x14ac:dyDescent="0.3">
      <c r="A107" s="77"/>
      <c r="B107" s="18" t="s">
        <v>63</v>
      </c>
      <c r="C107" s="33"/>
      <c r="D107" s="17" t="e">
        <f>_xlfn.RANK.EQ(C107,($C107,$G107,$K107,$O107,$S107,$W107,$AB107,$AF107,$AJ107,$AN107),1)</f>
        <v>#N/A</v>
      </c>
      <c r="E107" s="33" t="str">
        <f t="shared" si="12"/>
        <v/>
      </c>
      <c r="F107" s="17"/>
      <c r="G107" s="17"/>
      <c r="H107" s="17" t="e">
        <f>_xlfn.RANK.EQ(G107,($C107,$G107,$K107,$O107,$S107,$W107,$AA107,$AE107,$AI107,$AM107),1)</f>
        <v>#N/A</v>
      </c>
      <c r="I107" s="33" t="str">
        <f t="shared" si="14"/>
        <v/>
      </c>
      <c r="J107" s="17"/>
      <c r="K107" s="17"/>
      <c r="L107" s="17" t="e">
        <f>_xlfn.RANK.EQ(K107,($C107,$G107,$K107,$O107,$S107,$W107,$AA107,$AE107,$AI107,$AM107),1)</f>
        <v>#N/A</v>
      </c>
      <c r="M107" s="33" t="str">
        <f t="shared" si="15"/>
        <v/>
      </c>
      <c r="N107" s="17"/>
      <c r="O107" s="17"/>
      <c r="P107" s="17" t="e">
        <f>_xlfn.RANK.EQ(O107,($C107,$G107,$K107,$O107,$S107,$W107,$AA107,$AE107,$AI107,$AM107),1)</f>
        <v>#N/A</v>
      </c>
      <c r="Q107" s="33" t="str">
        <f t="shared" si="16"/>
        <v/>
      </c>
      <c r="R107" s="17"/>
      <c r="S107" s="17"/>
      <c r="T107" s="17" t="e">
        <f>_xlfn.RANK.EQ(S107,($C107,$G107,$K107,$O107,$S107,$W107,$AA107,$AE107,$AI107,$AM107),0)</f>
        <v>#N/A</v>
      </c>
      <c r="U107" s="33" t="str">
        <f t="shared" si="10"/>
        <v/>
      </c>
      <c r="V107" s="17"/>
      <c r="W107" s="17"/>
      <c r="X107" s="17" t="e">
        <f>_xlfn.RANK.EQ(W107,($C107,$G107,$K107,$O107,$S107,$W107,$AA107,$AE107,$AI107,$AM107),1)</f>
        <v>#N/A</v>
      </c>
      <c r="Y107" s="33" t="str">
        <f t="shared" si="13"/>
        <v/>
      </c>
      <c r="Z107" s="17"/>
      <c r="AA107" s="17"/>
      <c r="AB107" s="17" t="e">
        <f>_xlfn.RANK.EQ(AA107,($C107,$G107,$K107,$O107,$S107,$W107,$AA107,$AE107,$AI107,$AM107),1)</f>
        <v>#N/A</v>
      </c>
      <c r="AC107" s="33" t="str">
        <f t="shared" si="17"/>
        <v/>
      </c>
      <c r="AD107" s="17"/>
      <c r="AE107" s="17"/>
      <c r="AF107" s="17" t="e">
        <f>_xlfn.RANK.EQ(AE107,($C107,$G107,$K107,$O107,$S107,$W107,$AA107,$AE107,$AI107,$AM107),1)</f>
        <v>#N/A</v>
      </c>
      <c r="AG107" s="33" t="str">
        <f t="shared" si="18"/>
        <v/>
      </c>
      <c r="AH107" s="17"/>
      <c r="AI107" s="17"/>
      <c r="AJ107" s="17" t="e">
        <f>_xlfn.RANK.EQ(AI107,($C107,$G107,$K107,$O107,$S107,$W107,$AA107,$AE107,$AI107,$AM107),1)</f>
        <v>#N/A</v>
      </c>
      <c r="AK107" s="33" t="str">
        <f t="shared" si="11"/>
        <v/>
      </c>
      <c r="AL107" s="17"/>
      <c r="AM107" s="17"/>
      <c r="AN107" s="17" t="e">
        <f>_xlfn.RANK.EQ(AM107,($C107,$G107,$K107,$O107,$S107,$W107,$AA107,$AE107,$AI107,$AM107),1)</f>
        <v>#N/A</v>
      </c>
      <c r="AO107" s="33" t="str">
        <f t="shared" si="19"/>
        <v/>
      </c>
      <c r="AP107" s="17"/>
    </row>
    <row r="108" spans="1:42" x14ac:dyDescent="0.3">
      <c r="A108" s="77">
        <v>33</v>
      </c>
      <c r="B108" s="18" t="s">
        <v>61</v>
      </c>
      <c r="C108" s="33"/>
      <c r="D108" s="17" t="e">
        <f>_xlfn.RANK.EQ(C108,($C108,$G108,$K108,$O108,$S108,$W108,$AB108,$AF108,$AJ108,$AN108),1)</f>
        <v>#N/A</v>
      </c>
      <c r="E108" s="33" t="str">
        <f t="shared" si="12"/>
        <v/>
      </c>
      <c r="F108" s="17"/>
      <c r="G108" s="17"/>
      <c r="H108" s="17" t="e">
        <f>_xlfn.RANK.EQ(G108,($C108,$G108,$K108,$O108,$S108,$W108,$AA108,$AE108,$AI108,$AM108),1)</f>
        <v>#N/A</v>
      </c>
      <c r="I108" s="33" t="str">
        <f t="shared" si="14"/>
        <v/>
      </c>
      <c r="J108" s="17"/>
      <c r="K108" s="17"/>
      <c r="L108" s="17" t="e">
        <f>_xlfn.RANK.EQ(K108,($C108,$G108,$K108,$O108,$S108,$W108,$AA108,$AE108,$AI108,$AM108),1)</f>
        <v>#N/A</v>
      </c>
      <c r="M108" s="33" t="str">
        <f t="shared" si="15"/>
        <v/>
      </c>
      <c r="N108" s="17"/>
      <c r="O108" s="17"/>
      <c r="P108" s="17" t="e">
        <f>_xlfn.RANK.EQ(O108,($C108,$G108,$K108,$O108,$S108,$W108,$AA108,$AE108,$AI108,$AM108),1)</f>
        <v>#N/A</v>
      </c>
      <c r="Q108" s="33" t="str">
        <f t="shared" si="16"/>
        <v/>
      </c>
      <c r="R108" s="17"/>
      <c r="S108" s="17"/>
      <c r="T108" s="17" t="e">
        <f>_xlfn.RANK.EQ(S108,($C108,$G108,$K108,$O108,$S108,$W108,$AA108,$AE108,$AI108,$AM108),0)</f>
        <v>#N/A</v>
      </c>
      <c r="U108" s="33" t="str">
        <f t="shared" si="10"/>
        <v/>
      </c>
      <c r="V108" s="17"/>
      <c r="W108" s="17"/>
      <c r="X108" s="17" t="e">
        <f>_xlfn.RANK.EQ(W108,($C108,$G108,$K108,$O108,$S108,$W108,$AA108,$AE108,$AI108,$AM108),1)</f>
        <v>#N/A</v>
      </c>
      <c r="Y108" s="33" t="str">
        <f t="shared" si="13"/>
        <v/>
      </c>
      <c r="Z108" s="17"/>
      <c r="AA108" s="17"/>
      <c r="AB108" s="17" t="e">
        <f>_xlfn.RANK.EQ(AA108,($C108,$G108,$K108,$O108,$S108,$W108,$AA108,$AE108,$AI108,$AM108),1)</f>
        <v>#N/A</v>
      </c>
      <c r="AC108" s="33" t="str">
        <f t="shared" si="17"/>
        <v/>
      </c>
      <c r="AD108" s="17"/>
      <c r="AE108" s="17"/>
      <c r="AF108" s="17" t="e">
        <f>_xlfn.RANK.EQ(AE108,($C108,$G108,$K108,$O108,$S108,$W108,$AA108,$AE108,$AI108,$AM108),1)</f>
        <v>#N/A</v>
      </c>
      <c r="AG108" s="33" t="str">
        <f t="shared" si="18"/>
        <v/>
      </c>
      <c r="AH108" s="17"/>
      <c r="AI108" s="17"/>
      <c r="AJ108" s="17" t="e">
        <f>_xlfn.RANK.EQ(AI108,($C108,$G108,$K108,$O108,$S108,$W108,$AA108,$AE108,$AI108,$AM108),1)</f>
        <v>#N/A</v>
      </c>
      <c r="AK108" s="33" t="str">
        <f t="shared" si="11"/>
        <v/>
      </c>
      <c r="AL108" s="17"/>
      <c r="AM108" s="17"/>
      <c r="AN108" s="17" t="e">
        <f>_xlfn.RANK.EQ(AM108,($C108,$G108,$K108,$O108,$S108,$W108,$AA108,$AE108,$AI108,$AM108),1)</f>
        <v>#N/A</v>
      </c>
      <c r="AO108" s="33" t="str">
        <f t="shared" si="19"/>
        <v/>
      </c>
      <c r="AP108" s="17"/>
    </row>
    <row r="109" spans="1:42" x14ac:dyDescent="0.3">
      <c r="A109" s="77"/>
      <c r="B109" s="18" t="s">
        <v>62</v>
      </c>
      <c r="C109" s="33"/>
      <c r="D109" s="17" t="e">
        <f>_xlfn.RANK.EQ(C109,($C109,$G109,$K109,$O109,$S109,$W109,$AB109,$AF109,$AJ109,$AN109),1)</f>
        <v>#N/A</v>
      </c>
      <c r="E109" s="33" t="str">
        <f t="shared" si="12"/>
        <v/>
      </c>
      <c r="F109" s="17"/>
      <c r="G109" s="17"/>
      <c r="H109" s="17" t="e">
        <f>_xlfn.RANK.EQ(G109,($C109,$G109,$K109,$O109,$S109,$W109,$AA109,$AE109,$AI109,$AM109),1)</f>
        <v>#N/A</v>
      </c>
      <c r="I109" s="33" t="str">
        <f t="shared" si="14"/>
        <v/>
      </c>
      <c r="J109" s="17"/>
      <c r="K109" s="17"/>
      <c r="L109" s="17" t="e">
        <f>_xlfn.RANK.EQ(K109,($C109,$G109,$K109,$O109,$S109,$W109,$AA109,$AE109,$AI109,$AM109),1)</f>
        <v>#N/A</v>
      </c>
      <c r="M109" s="33" t="str">
        <f t="shared" si="15"/>
        <v/>
      </c>
      <c r="N109" s="17"/>
      <c r="O109" s="17"/>
      <c r="P109" s="17" t="e">
        <f>_xlfn.RANK.EQ(O109,($C109,$G109,$K109,$O109,$S109,$W109,$AA109,$AE109,$AI109,$AM109),1)</f>
        <v>#N/A</v>
      </c>
      <c r="Q109" s="33" t="str">
        <f t="shared" si="16"/>
        <v/>
      </c>
      <c r="R109" s="17"/>
      <c r="S109" s="17"/>
      <c r="T109" s="17" t="e">
        <f>_xlfn.RANK.EQ(S109,($C109,$G109,$K109,$O109,$S109,$W109,$AA109,$AE109,$AI109,$AM109),0)</f>
        <v>#N/A</v>
      </c>
      <c r="U109" s="33" t="str">
        <f t="shared" si="10"/>
        <v/>
      </c>
      <c r="V109" s="17"/>
      <c r="W109" s="17"/>
      <c r="X109" s="17" t="e">
        <f>_xlfn.RANK.EQ(W109,($C109,$G109,$K109,$O109,$S109,$W109,$AA109,$AE109,$AI109,$AM109),1)</f>
        <v>#N/A</v>
      </c>
      <c r="Y109" s="33" t="str">
        <f t="shared" si="13"/>
        <v/>
      </c>
      <c r="Z109" s="17"/>
      <c r="AA109" s="17"/>
      <c r="AB109" s="17" t="e">
        <f>_xlfn.RANK.EQ(AA109,($C109,$G109,$K109,$O109,$S109,$W109,$AA109,$AE109,$AI109,$AM109),1)</f>
        <v>#N/A</v>
      </c>
      <c r="AC109" s="33" t="str">
        <f t="shared" si="17"/>
        <v/>
      </c>
      <c r="AD109" s="17"/>
      <c r="AE109" s="17"/>
      <c r="AF109" s="17" t="e">
        <f>_xlfn.RANK.EQ(AE109,($C109,$G109,$K109,$O109,$S109,$W109,$AA109,$AE109,$AI109,$AM109),1)</f>
        <v>#N/A</v>
      </c>
      <c r="AG109" s="33" t="str">
        <f t="shared" si="18"/>
        <v/>
      </c>
      <c r="AH109" s="17"/>
      <c r="AI109" s="17"/>
      <c r="AJ109" s="17" t="e">
        <f>_xlfn.RANK.EQ(AI109,($C109,$G109,$K109,$O109,$S109,$W109,$AA109,$AE109,$AI109,$AM109),1)</f>
        <v>#N/A</v>
      </c>
      <c r="AK109" s="33" t="str">
        <f t="shared" si="11"/>
        <v/>
      </c>
      <c r="AL109" s="17"/>
      <c r="AM109" s="17"/>
      <c r="AN109" s="17" t="e">
        <f>_xlfn.RANK.EQ(AM109,($C109,$G109,$K109,$O109,$S109,$W109,$AA109,$AE109,$AI109,$AM109),1)</f>
        <v>#N/A</v>
      </c>
      <c r="AO109" s="33" t="str">
        <f t="shared" si="19"/>
        <v/>
      </c>
      <c r="AP109" s="17"/>
    </row>
    <row r="110" spans="1:42" x14ac:dyDescent="0.3">
      <c r="A110" s="77"/>
      <c r="B110" s="18" t="s">
        <v>63</v>
      </c>
      <c r="C110" s="33"/>
      <c r="D110" s="17" t="e">
        <f>_xlfn.RANK.EQ(C110,($C110,$G110,$K110,$O110,$S110,$W110,$AB110,$AF110,$AJ110,$AN110),1)</f>
        <v>#N/A</v>
      </c>
      <c r="E110" s="33" t="str">
        <f t="shared" si="12"/>
        <v/>
      </c>
      <c r="F110" s="17"/>
      <c r="G110" s="17"/>
      <c r="H110" s="17" t="e">
        <f>_xlfn.RANK.EQ(G110,($C110,$G110,$K110,$O110,$S110,$W110,$AA110,$AE110,$AI110,$AM110),1)</f>
        <v>#N/A</v>
      </c>
      <c r="I110" s="33" t="str">
        <f t="shared" si="14"/>
        <v/>
      </c>
      <c r="J110" s="17"/>
      <c r="K110" s="17"/>
      <c r="L110" s="17" t="e">
        <f>_xlfn.RANK.EQ(K110,($C110,$G110,$K110,$O110,$S110,$W110,$AA110,$AE110,$AI110,$AM110),1)</f>
        <v>#N/A</v>
      </c>
      <c r="M110" s="33" t="str">
        <f>IF(MROUND(SUM(K110*11),0.5)=0,"",MROUND(SUM(K110*11),0.5))</f>
        <v/>
      </c>
      <c r="N110" s="17"/>
      <c r="O110" s="17"/>
      <c r="P110" s="17" t="e">
        <f>_xlfn.RANK.EQ(O110,($C110,$G110,$K110,$O110,$S110,$W110,$AA110,$AE110,$AI110,$AM110),1)</f>
        <v>#N/A</v>
      </c>
      <c r="Q110" s="33" t="str">
        <f t="shared" si="16"/>
        <v/>
      </c>
      <c r="R110" s="17"/>
      <c r="S110" s="17"/>
      <c r="T110" s="17" t="e">
        <f>_xlfn.RANK.EQ(S110,($C110,$G110,$K110,$O110,$S110,$W110,$AA110,$AE110,$AI110,$AM110),0)</f>
        <v>#N/A</v>
      </c>
      <c r="U110" s="33" t="str">
        <f>IF(MROUND(SUM(S110*11),0.5)=0,"",MROUND(SUM(S110*11),0.5))</f>
        <v/>
      </c>
      <c r="V110" s="17"/>
      <c r="W110" s="17"/>
      <c r="X110" s="17" t="e">
        <f>_xlfn.RANK.EQ(W110,($C110,$G110,$K110,$O110,$S110,$W110,$AA110,$AE110,$AI110,$AM110),1)</f>
        <v>#N/A</v>
      </c>
      <c r="Y110" s="33" t="str">
        <f t="shared" si="13"/>
        <v/>
      </c>
      <c r="Z110" s="17"/>
      <c r="AA110" s="17"/>
      <c r="AB110" s="17" t="e">
        <f>_xlfn.RANK.EQ(AA110,($C110,$G110,$K110,$O110,$S110,$W110,$AA110,$AE110,$AI110,$AM110),1)</f>
        <v>#N/A</v>
      </c>
      <c r="AC110" s="33" t="str">
        <f>IF(MROUND(SUM(AA110*11),0.5)=0,"",MROUND(SUM(AA110*11),0.5))</f>
        <v/>
      </c>
      <c r="AD110" s="17"/>
      <c r="AE110" s="17"/>
      <c r="AF110" s="17" t="e">
        <f>_xlfn.RANK.EQ(AE110,($C110,$G110,$K110,$O110,$S110,$W110,$AA110,$AE110,$AI110,$AM110),1)</f>
        <v>#N/A</v>
      </c>
      <c r="AG110" s="33" t="str">
        <f t="shared" si="18"/>
        <v/>
      </c>
      <c r="AH110" s="17"/>
      <c r="AI110" s="17"/>
      <c r="AJ110" s="17" t="e">
        <f>_xlfn.RANK.EQ(AI110,($C110,$G110,$K110,$O110,$S110,$W110,$AA110,$AE110,$AI110,$AM110),1)</f>
        <v>#N/A</v>
      </c>
      <c r="AK110" s="33" t="str">
        <f>IF(MROUND(SUM(AI110*11),0.5)=0,"",MROUND(SUM(AI110*11),0.5))</f>
        <v/>
      </c>
      <c r="AL110" s="17"/>
      <c r="AM110" s="17"/>
      <c r="AN110" s="17" t="e">
        <f>_xlfn.RANK.EQ(AM110,($C110,$G110,$K110,$O110,$S110,$W110,$AA110,$AE110,$AI110,$AM110),1)</f>
        <v>#N/A</v>
      </c>
      <c r="AO110" s="33" t="str">
        <f t="shared" si="19"/>
        <v/>
      </c>
      <c r="AP110" s="17"/>
    </row>
  </sheetData>
  <mergeCells count="59">
    <mergeCell ref="A108:A110"/>
    <mergeCell ref="A72:A74"/>
    <mergeCell ref="A75:A77"/>
    <mergeCell ref="A78:A80"/>
    <mergeCell ref="A81:A83"/>
    <mergeCell ref="A84:A86"/>
    <mergeCell ref="A90:A92"/>
    <mergeCell ref="A93:A95"/>
    <mergeCell ref="A96:A98"/>
    <mergeCell ref="A99:A101"/>
    <mergeCell ref="A102:A104"/>
    <mergeCell ref="A105:A107"/>
    <mergeCell ref="W10:Y10"/>
    <mergeCell ref="AA10:AC10"/>
    <mergeCell ref="AE10:AG10"/>
    <mergeCell ref="AI10:AK10"/>
    <mergeCell ref="AM10:AO10"/>
    <mergeCell ref="C10:E10"/>
    <mergeCell ref="G10:I10"/>
    <mergeCell ref="K10:M10"/>
    <mergeCell ref="O10:Q10"/>
    <mergeCell ref="S10:U10"/>
    <mergeCell ref="W6:Z6"/>
    <mergeCell ref="AA6:AD6"/>
    <mergeCell ref="AE6:AH6"/>
    <mergeCell ref="AI6:AL6"/>
    <mergeCell ref="AM6:AP6"/>
    <mergeCell ref="C6:E6"/>
    <mergeCell ref="G6:I6"/>
    <mergeCell ref="K6:N6"/>
    <mergeCell ref="O6:R6"/>
    <mergeCell ref="S6:V6"/>
    <mergeCell ref="C1:D1"/>
    <mergeCell ref="C2:D2"/>
    <mergeCell ref="C3:F3"/>
    <mergeCell ref="G3:L3"/>
    <mergeCell ref="C4:H4"/>
    <mergeCell ref="A45:A47"/>
    <mergeCell ref="A48:A50"/>
    <mergeCell ref="A51:A53"/>
    <mergeCell ref="A54:A56"/>
    <mergeCell ref="A87:A89"/>
    <mergeCell ref="A57:A59"/>
    <mergeCell ref="A60:A62"/>
    <mergeCell ref="A63:A65"/>
    <mergeCell ref="A66:A68"/>
    <mergeCell ref="A69:A71"/>
    <mergeCell ref="A36:A38"/>
    <mergeCell ref="A39:A41"/>
    <mergeCell ref="A42:A44"/>
    <mergeCell ref="A7:A9"/>
    <mergeCell ref="A12:A14"/>
    <mergeCell ref="A15:A17"/>
    <mergeCell ref="A18:A20"/>
    <mergeCell ref="A21:A23"/>
    <mergeCell ref="A24:A26"/>
    <mergeCell ref="A27:A29"/>
    <mergeCell ref="A30:A32"/>
    <mergeCell ref="A33:A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3877-9BE8-48A3-8A4F-658790045099}">
  <dimension ref="A2:AL28"/>
  <sheetViews>
    <sheetView topLeftCell="A2" workbookViewId="0">
      <selection activeCell="AG6" sqref="AG6"/>
    </sheetView>
  </sheetViews>
  <sheetFormatPr defaultRowHeight="14.4" x14ac:dyDescent="0.3"/>
  <cols>
    <col min="1" max="1" width="23.44140625" customWidth="1"/>
    <col min="2" max="2" width="6.6640625" style="71" customWidth="1"/>
    <col min="3" max="38" width="4.21875" customWidth="1"/>
  </cols>
  <sheetData>
    <row r="2" spans="1:38" x14ac:dyDescent="0.3">
      <c r="A2" t="s">
        <v>118</v>
      </c>
      <c r="C2" s="72">
        <v>1</v>
      </c>
      <c r="D2" s="72">
        <v>2</v>
      </c>
      <c r="E2" s="72">
        <v>3</v>
      </c>
      <c r="F2" s="72">
        <v>4</v>
      </c>
      <c r="G2" s="72">
        <v>5</v>
      </c>
      <c r="H2" s="72">
        <v>6</v>
      </c>
      <c r="I2" s="72">
        <v>7</v>
      </c>
      <c r="J2" s="72">
        <v>8</v>
      </c>
      <c r="K2" s="72">
        <v>9</v>
      </c>
      <c r="L2" s="72">
        <v>10</v>
      </c>
      <c r="M2" s="72">
        <v>11</v>
      </c>
      <c r="N2" s="72">
        <v>12</v>
      </c>
      <c r="O2" s="72">
        <v>13</v>
      </c>
      <c r="P2" s="72">
        <v>14</v>
      </c>
      <c r="Q2" s="72">
        <v>15</v>
      </c>
      <c r="R2" s="72">
        <v>16</v>
      </c>
      <c r="S2" s="72">
        <v>17</v>
      </c>
      <c r="T2" s="72">
        <v>18</v>
      </c>
      <c r="U2" s="72">
        <v>19</v>
      </c>
      <c r="V2" s="72">
        <v>20</v>
      </c>
      <c r="W2" s="72">
        <v>21</v>
      </c>
      <c r="X2" s="72">
        <v>22</v>
      </c>
      <c r="Y2" s="72">
        <v>23</v>
      </c>
      <c r="Z2" s="72">
        <v>24</v>
      </c>
      <c r="AA2" s="72">
        <v>25</v>
      </c>
      <c r="AB2" s="72">
        <v>26</v>
      </c>
      <c r="AC2" s="72">
        <v>27</v>
      </c>
      <c r="AD2" s="72">
        <v>28</v>
      </c>
      <c r="AE2" s="72">
        <v>29</v>
      </c>
      <c r="AF2" s="72">
        <v>30</v>
      </c>
      <c r="AG2" s="72">
        <v>31</v>
      </c>
      <c r="AH2" s="72">
        <v>32</v>
      </c>
      <c r="AI2" s="72">
        <v>33</v>
      </c>
      <c r="AJ2" s="72">
        <v>34</v>
      </c>
      <c r="AK2" s="72">
        <v>35</v>
      </c>
      <c r="AL2" s="72">
        <v>36</v>
      </c>
    </row>
    <row r="4" spans="1:38" x14ac:dyDescent="0.3">
      <c r="A4" t="s">
        <v>60</v>
      </c>
      <c r="B4" s="71">
        <f>SUM(C4:AL4)</f>
        <v>24</v>
      </c>
      <c r="C4">
        <v>10</v>
      </c>
      <c r="D4">
        <v>7</v>
      </c>
      <c r="E4">
        <v>7</v>
      </c>
    </row>
    <row r="5" spans="1:38" x14ac:dyDescent="0.3">
      <c r="A5" t="s">
        <v>48</v>
      </c>
      <c r="B5" s="71">
        <f t="shared" ref="B5:B13" si="0">SUM(C5:AL5)</f>
        <v>15</v>
      </c>
      <c r="C5">
        <v>4</v>
      </c>
      <c r="D5">
        <v>10</v>
      </c>
      <c r="E5">
        <v>1</v>
      </c>
    </row>
    <row r="6" spans="1:38" x14ac:dyDescent="0.3">
      <c r="A6" t="s">
        <v>49</v>
      </c>
      <c r="B6" s="71">
        <f t="shared" si="0"/>
        <v>19</v>
      </c>
      <c r="C6">
        <v>9</v>
      </c>
      <c r="D6">
        <v>7</v>
      </c>
      <c r="E6">
        <v>3</v>
      </c>
    </row>
    <row r="7" spans="1:38" x14ac:dyDescent="0.3">
      <c r="A7" t="s">
        <v>50</v>
      </c>
      <c r="B7" s="71">
        <f t="shared" si="0"/>
        <v>15</v>
      </c>
      <c r="C7">
        <v>8</v>
      </c>
      <c r="D7">
        <v>1</v>
      </c>
      <c r="E7">
        <v>6</v>
      </c>
    </row>
    <row r="8" spans="1:38" x14ac:dyDescent="0.3">
      <c r="A8" t="s">
        <v>51</v>
      </c>
      <c r="B8" s="71">
        <f t="shared" si="0"/>
        <v>24</v>
      </c>
      <c r="C8">
        <v>6</v>
      </c>
      <c r="D8">
        <v>10</v>
      </c>
      <c r="E8">
        <v>8</v>
      </c>
    </row>
    <row r="9" spans="1:38" x14ac:dyDescent="0.3">
      <c r="A9" t="s">
        <v>52</v>
      </c>
      <c r="B9" s="71">
        <f t="shared" si="0"/>
        <v>14</v>
      </c>
      <c r="C9">
        <v>5</v>
      </c>
      <c r="D9">
        <v>5</v>
      </c>
      <c r="E9">
        <v>4</v>
      </c>
    </row>
    <row r="10" spans="1:38" x14ac:dyDescent="0.3">
      <c r="A10" t="s">
        <v>53</v>
      </c>
      <c r="B10" s="71">
        <f t="shared" si="0"/>
        <v>11</v>
      </c>
      <c r="C10">
        <v>1</v>
      </c>
      <c r="D10">
        <v>8</v>
      </c>
      <c r="E10">
        <v>2</v>
      </c>
    </row>
    <row r="11" spans="1:38" x14ac:dyDescent="0.3">
      <c r="A11" t="s">
        <v>54</v>
      </c>
      <c r="B11" s="71">
        <f t="shared" si="0"/>
        <v>15</v>
      </c>
      <c r="C11">
        <v>2</v>
      </c>
      <c r="D11">
        <v>4</v>
      </c>
      <c r="E11">
        <v>9</v>
      </c>
    </row>
    <row r="12" spans="1:38" x14ac:dyDescent="0.3">
      <c r="A12" t="s">
        <v>55</v>
      </c>
      <c r="B12" s="71">
        <f t="shared" si="0"/>
        <v>15</v>
      </c>
      <c r="C12">
        <v>3</v>
      </c>
      <c r="D12">
        <v>2</v>
      </c>
      <c r="E12">
        <v>10</v>
      </c>
    </row>
    <row r="13" spans="1:38" x14ac:dyDescent="0.3">
      <c r="A13" t="s">
        <v>56</v>
      </c>
      <c r="B13" s="71">
        <f t="shared" si="0"/>
        <v>15</v>
      </c>
      <c r="C13">
        <v>7</v>
      </c>
      <c r="D13">
        <v>3</v>
      </c>
      <c r="E13">
        <v>5</v>
      </c>
    </row>
    <row r="17" spans="1:38" x14ac:dyDescent="0.3">
      <c r="A17" t="s">
        <v>119</v>
      </c>
      <c r="C17" s="72">
        <v>1</v>
      </c>
      <c r="D17" s="72">
        <v>2</v>
      </c>
      <c r="E17" s="72">
        <v>3</v>
      </c>
      <c r="F17" s="72">
        <v>4</v>
      </c>
      <c r="G17" s="72">
        <v>5</v>
      </c>
      <c r="H17" s="72">
        <v>6</v>
      </c>
      <c r="I17" s="72">
        <v>7</v>
      </c>
      <c r="J17" s="72">
        <v>8</v>
      </c>
      <c r="K17" s="72">
        <v>9</v>
      </c>
      <c r="L17" s="72">
        <v>10</v>
      </c>
      <c r="M17" s="72">
        <v>11</v>
      </c>
      <c r="N17" s="72">
        <v>12</v>
      </c>
      <c r="O17" s="72">
        <v>13</v>
      </c>
      <c r="P17" s="72">
        <v>14</v>
      </c>
      <c r="Q17" s="72">
        <v>15</v>
      </c>
      <c r="R17" s="72">
        <v>16</v>
      </c>
      <c r="S17" s="72">
        <v>17</v>
      </c>
      <c r="T17" s="72">
        <v>18</v>
      </c>
      <c r="U17" s="72">
        <v>19</v>
      </c>
      <c r="V17" s="72">
        <v>20</v>
      </c>
      <c r="W17" s="72">
        <v>21</v>
      </c>
      <c r="X17" s="72">
        <v>22</v>
      </c>
      <c r="Y17" s="72">
        <v>23</v>
      </c>
      <c r="Z17" s="72">
        <v>24</v>
      </c>
      <c r="AA17" s="72">
        <v>25</v>
      </c>
      <c r="AB17" s="72">
        <v>26</v>
      </c>
      <c r="AC17" s="72">
        <v>27</v>
      </c>
      <c r="AD17" s="72">
        <v>28</v>
      </c>
      <c r="AE17" s="72">
        <v>29</v>
      </c>
      <c r="AF17" s="72">
        <v>30</v>
      </c>
      <c r="AG17" s="72">
        <v>31</v>
      </c>
      <c r="AH17" s="72">
        <v>32</v>
      </c>
      <c r="AI17" s="72">
        <v>33</v>
      </c>
      <c r="AJ17" s="72">
        <v>34</v>
      </c>
      <c r="AK17" s="72">
        <v>35</v>
      </c>
      <c r="AL17" s="72">
        <v>36</v>
      </c>
    </row>
    <row r="19" spans="1:38" x14ac:dyDescent="0.3">
      <c r="A19" t="s">
        <v>60</v>
      </c>
      <c r="B19" s="71">
        <f t="shared" ref="B19:B28" si="1">SUM(C19:AL19)</f>
        <v>63</v>
      </c>
      <c r="C19">
        <v>25</v>
      </c>
      <c r="D19">
        <v>20</v>
      </c>
      <c r="E19">
        <v>18</v>
      </c>
    </row>
    <row r="20" spans="1:38" x14ac:dyDescent="0.3">
      <c r="A20" t="s">
        <v>48</v>
      </c>
      <c r="B20" s="71">
        <f t="shared" si="1"/>
        <v>30</v>
      </c>
      <c r="C20">
        <v>3</v>
      </c>
      <c r="D20">
        <v>25</v>
      </c>
      <c r="E20">
        <v>2</v>
      </c>
    </row>
    <row r="21" spans="1:38" x14ac:dyDescent="0.3">
      <c r="A21" t="s">
        <v>49</v>
      </c>
      <c r="B21" s="71">
        <f t="shared" si="1"/>
        <v>47</v>
      </c>
      <c r="C21">
        <v>25</v>
      </c>
      <c r="D21">
        <v>20</v>
      </c>
      <c r="E21">
        <v>2</v>
      </c>
    </row>
    <row r="22" spans="1:38" x14ac:dyDescent="0.3">
      <c r="A22" t="s">
        <v>50</v>
      </c>
      <c r="B22" s="71">
        <f t="shared" si="1"/>
        <v>39</v>
      </c>
      <c r="C22">
        <v>19</v>
      </c>
      <c r="D22">
        <v>2</v>
      </c>
      <c r="E22">
        <v>18</v>
      </c>
    </row>
    <row r="23" spans="1:38" x14ac:dyDescent="0.3">
      <c r="A23" t="s">
        <v>51</v>
      </c>
      <c r="B23" s="71">
        <f t="shared" si="1"/>
        <v>56</v>
      </c>
      <c r="C23">
        <v>13</v>
      </c>
      <c r="D23">
        <v>25</v>
      </c>
      <c r="E23">
        <v>18</v>
      </c>
    </row>
    <row r="24" spans="1:38" x14ac:dyDescent="0.3">
      <c r="A24" t="s">
        <v>52</v>
      </c>
      <c r="B24" s="71">
        <f t="shared" si="1"/>
        <v>33</v>
      </c>
      <c r="C24">
        <v>13</v>
      </c>
      <c r="D24">
        <v>10</v>
      </c>
      <c r="E24">
        <v>10</v>
      </c>
    </row>
    <row r="25" spans="1:38" x14ac:dyDescent="0.3">
      <c r="A25" t="s">
        <v>53</v>
      </c>
      <c r="B25" s="71">
        <f t="shared" si="1"/>
        <v>25</v>
      </c>
      <c r="C25">
        <v>3</v>
      </c>
      <c r="D25">
        <v>20</v>
      </c>
      <c r="E25">
        <v>2</v>
      </c>
    </row>
    <row r="26" spans="1:38" x14ac:dyDescent="0.3">
      <c r="A26" t="s">
        <v>54</v>
      </c>
      <c r="B26" s="71">
        <f t="shared" si="1"/>
        <v>31</v>
      </c>
      <c r="C26">
        <v>3</v>
      </c>
      <c r="D26">
        <v>10</v>
      </c>
      <c r="E26">
        <v>18</v>
      </c>
    </row>
    <row r="27" spans="1:38" x14ac:dyDescent="0.3">
      <c r="A27" t="s">
        <v>55</v>
      </c>
      <c r="B27" s="71">
        <f t="shared" si="1"/>
        <v>32</v>
      </c>
      <c r="C27">
        <v>3</v>
      </c>
      <c r="D27">
        <v>2</v>
      </c>
      <c r="E27">
        <v>27</v>
      </c>
    </row>
    <row r="28" spans="1:38" x14ac:dyDescent="0.3">
      <c r="A28" t="s">
        <v>56</v>
      </c>
      <c r="B28" s="71">
        <f t="shared" si="1"/>
        <v>31</v>
      </c>
      <c r="C28">
        <v>19</v>
      </c>
      <c r="D28">
        <v>2</v>
      </c>
      <c r="E28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BF84-A83F-409E-ADDC-485E72920E57}">
  <sheetPr codeName="Foglio4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1</v>
      </c>
      <c r="E4" s="48"/>
      <c r="F4" s="48" t="s">
        <v>66</v>
      </c>
      <c r="G4" s="48" t="s">
        <v>95</v>
      </c>
      <c r="H4" s="48" t="s">
        <v>67</v>
      </c>
      <c r="I4" s="48" t="s">
        <v>1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49</v>
      </c>
      <c r="D5" s="39">
        <v>141.5</v>
      </c>
      <c r="E5" s="36"/>
      <c r="F5" s="37">
        <v>6</v>
      </c>
      <c r="G5" s="36"/>
      <c r="H5" s="40" t="s">
        <v>53</v>
      </c>
      <c r="I5" s="39">
        <v>134</v>
      </c>
      <c r="J5" s="41"/>
      <c r="K5" s="41"/>
      <c r="L5" s="89" t="str">
        <f>_xlfn.XLOOKUP(B1,V:V,W:W)</f>
        <v>punti solo pagella</v>
      </c>
      <c r="M5" s="90"/>
      <c r="N5" s="90"/>
      <c r="O5" s="91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48</v>
      </c>
      <c r="D6" s="39">
        <v>140.5</v>
      </c>
      <c r="E6" s="36"/>
      <c r="F6" s="37">
        <v>7</v>
      </c>
      <c r="G6" s="36"/>
      <c r="H6" s="40" t="s">
        <v>52</v>
      </c>
      <c r="I6" s="39">
        <v>133.5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138</v>
      </c>
      <c r="E7" s="36"/>
      <c r="F7" s="37">
        <v>8</v>
      </c>
      <c r="G7" s="36"/>
      <c r="H7" s="40" t="s">
        <v>56</v>
      </c>
      <c r="I7" s="39">
        <v>133</v>
      </c>
      <c r="J7" s="41"/>
      <c r="K7" s="41"/>
      <c r="L7" s="36"/>
      <c r="M7" s="92"/>
      <c r="N7" s="92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60</v>
      </c>
      <c r="D8" s="39">
        <v>137.5</v>
      </c>
      <c r="E8" s="36"/>
      <c r="F8" s="37">
        <v>9</v>
      </c>
      <c r="G8" s="36"/>
      <c r="H8" s="40" t="s">
        <v>54</v>
      </c>
      <c r="I8" s="39">
        <v>131.5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50</v>
      </c>
      <c r="D9" s="39">
        <v>135</v>
      </c>
      <c r="E9" s="36"/>
      <c r="F9" s="37">
        <v>10</v>
      </c>
      <c r="G9" s="36"/>
      <c r="H9" s="40" t="s">
        <v>55</v>
      </c>
      <c r="I9" s="39">
        <v>129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errorStyle="information" allowBlank="1" showDropDown="1" showInputMessage="1" showErrorMessage="1" error="Non esiste questa categoria di dati" sqref="M7:N7" xr:uid="{2FBD9519-084F-492C-8032-A9F829B25363}">
      <formula1>Intestazioni</formula1>
    </dataValidation>
    <dataValidation type="list" showInputMessage="1" showErrorMessage="1" sqref="B1" xr:uid="{A2861A80-D322-4562-A9D9-B36D99348A3A}">
      <formula1>$A$100:$W$100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4A5A-00F2-4F6E-8E50-C12463B2150A}">
  <sheetPr codeName="Foglio5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2</v>
      </c>
      <c r="E4" s="48"/>
      <c r="F4" s="48" t="s">
        <v>66</v>
      </c>
      <c r="G4" s="48" t="s">
        <v>95</v>
      </c>
      <c r="H4" s="48" t="s">
        <v>67</v>
      </c>
      <c r="I4" s="48" t="s">
        <v>2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47</v>
      </c>
      <c r="D5" s="39">
        <v>12.5</v>
      </c>
      <c r="E5" s="36"/>
      <c r="F5" s="37">
        <v>6</v>
      </c>
      <c r="G5" s="36"/>
      <c r="H5" s="40" t="s">
        <v>56</v>
      </c>
      <c r="I5" s="39">
        <v>6</v>
      </c>
      <c r="J5" s="41"/>
      <c r="K5" s="41"/>
      <c r="L5" s="89" t="str">
        <f>_xlfn.XLOOKUP(B1,V:V,W:W)</f>
        <v>punti solo pagella</v>
      </c>
      <c r="M5" s="90"/>
      <c r="N5" s="90"/>
      <c r="O5" s="91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50</v>
      </c>
      <c r="D6" s="39">
        <v>9.5</v>
      </c>
      <c r="E6" s="36"/>
      <c r="F6" s="37">
        <v>7</v>
      </c>
      <c r="G6" s="36"/>
      <c r="H6" s="40" t="s">
        <v>55</v>
      </c>
      <c r="I6" s="39">
        <v>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8</v>
      </c>
      <c r="E7" s="36"/>
      <c r="F7" s="37">
        <v>8</v>
      </c>
      <c r="G7" s="36"/>
      <c r="H7" s="40" t="s">
        <v>53</v>
      </c>
      <c r="I7" s="39">
        <v>3.5</v>
      </c>
      <c r="J7" s="41"/>
      <c r="K7" s="41"/>
      <c r="L7" s="36"/>
      <c r="M7" s="92"/>
      <c r="N7" s="92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52</v>
      </c>
      <c r="D8" s="39">
        <v>8</v>
      </c>
      <c r="E8" s="36"/>
      <c r="F8" s="37">
        <v>9</v>
      </c>
      <c r="G8" s="36"/>
      <c r="H8" s="40" t="s">
        <v>54</v>
      </c>
      <c r="I8" s="39">
        <v>3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49</v>
      </c>
      <c r="D9" s="39">
        <v>7</v>
      </c>
      <c r="E9" s="36"/>
      <c r="F9" s="37">
        <v>10</v>
      </c>
      <c r="G9" s="36"/>
      <c r="H9" s="40" t="s">
        <v>48</v>
      </c>
      <c r="I9" s="39">
        <v>2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showInputMessage="1" showErrorMessage="1" sqref="B1" xr:uid="{C3E7AF10-0B65-47E3-8374-598D7DE09E95}">
      <formula1>$A$100:$W$100</formula1>
    </dataValidation>
    <dataValidation type="list" errorStyle="information" allowBlank="1" showDropDown="1" showInputMessage="1" showErrorMessage="1" error="Non esiste questa categoria di dati" sqref="M7:N7" xr:uid="{B6198900-D83B-40A1-86A4-31A106622DE7}">
      <formula1>Intestazioni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Foglio1</vt:lpstr>
      <vt:lpstr>Foglio2</vt:lpstr>
      <vt:lpstr>Foglio3</vt:lpstr>
      <vt:lpstr>Foglio4</vt:lpstr>
      <vt:lpstr>dashboard</vt:lpstr>
      <vt:lpstr>dashboard giocatori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soppelsa</dc:creator>
  <cp:lastModifiedBy>user3aa6 5</cp:lastModifiedBy>
  <dcterms:created xsi:type="dcterms:W3CDTF">2015-06-05T18:19:34Z</dcterms:created>
  <dcterms:modified xsi:type="dcterms:W3CDTF">2026-09-26T14:39:29Z</dcterms:modified>
</cp:coreProperties>
</file>